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showInkAnnotation="0" codeName="ThisWorkbook"/>
  <mc:AlternateContent xmlns:mc="http://schemas.openxmlformats.org/markup-compatibility/2006">
    <mc:Choice Requires="x15">
      <x15ac:absPath xmlns:x15ac="http://schemas.microsoft.com/office/spreadsheetml/2010/11/ac" url="\\DTCHYB-NYNY009\C_Users01\U838863\My Documents\"/>
    </mc:Choice>
  </mc:AlternateContent>
  <xr:revisionPtr revIDLastSave="0" documentId="13_ncr:1_{A6BB768E-6549-48CD-BD61-B1596E89F642}" xr6:coauthVersionLast="46" xr6:coauthVersionMax="46" xr10:uidLastSave="{00000000-0000-0000-0000-000000000000}"/>
  <bookViews>
    <workbookView xWindow="-120" yWindow="-120" windowWidth="16440" windowHeight="28440" firstSheet="1" activeTab="1" xr2:uid="{00000000-000D-0000-FFFF-FFFF00000000}"/>
  </bookViews>
  <sheets>
    <sheet name="Input" sheetId="5" r:id="rId1"/>
    <sheet name="Cash &amp; Tax Lot Input" sheetId="12" r:id="rId2"/>
    <sheet name="Restrictions Input" sheetId="13" r:id="rId3"/>
    <sheet name="Glossary" sheetId="14" r:id="rId4"/>
    <sheet name="Reference Data (not seen by FA)" sheetId="15" state="hidden" r:id="rId5"/>
    <sheet name="Disclosures" sheetId="23" r:id="rId6"/>
    <sheet name="EUCT_Temp" sheetId="24" state="hidden" r:id="rId7"/>
  </sheets>
  <definedNames>
    <definedName name="_xlnm._FilterDatabase" localSheetId="0" hidden="1">Input!$B$18:$C$19</definedName>
    <definedName name="_xlnm.Print_Area" localSheetId="1">'Cash &amp; Tax Lot Input'!$A$1:$M$46</definedName>
    <definedName name="_xlnm.Print_Area" localSheetId="5">Disclosures!$A$1:$C$45</definedName>
    <definedName name="_xlnm.Print_Area" localSheetId="3">Glossary!$A$1:$D$45</definedName>
    <definedName name="_xlnm.Print_Area" localSheetId="2">'Restrictions Input'!$A$1:$H$45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4" i="5" l="1"/>
  <c r="G23" i="5"/>
  <c r="G22" i="5"/>
  <c r="G31" i="5" l="1"/>
  <c r="G30" i="5"/>
  <c r="E19" i="5" l="1"/>
  <c r="F19" i="5"/>
  <c r="G29" i="5"/>
  <c r="G28" i="5"/>
  <c r="G27" i="5"/>
  <c r="H19" i="5" l="1"/>
  <c r="G19"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Talmage, Steve</author>
  </authors>
  <commentList>
    <comment ref="C12" authorId="0" shapeId="0" xr:uid="{00000000-0006-0000-0100-000001000000}">
      <text>
        <r>
          <rPr>
            <sz val="10"/>
            <color indexed="56"/>
            <rFont val="Wells Fargo Sans SemiBold"/>
            <family val="2"/>
            <scheme val="major"/>
          </rPr>
          <t>Purchase Date must be in the past</t>
        </r>
      </text>
    </comment>
    <comment ref="D12" authorId="0" shapeId="0" xr:uid="{00000000-0006-0000-0100-000002000000}">
      <text>
        <r>
          <rPr>
            <sz val="10"/>
            <color indexed="56"/>
            <rFont val="Wells Fargo Sans SemiBold"/>
            <family val="2"/>
            <scheme val="major"/>
          </rPr>
          <t xml:space="preserve">Value must be numeric and positive </t>
        </r>
      </text>
    </comment>
    <comment ref="E12" authorId="0" shapeId="0" xr:uid="{00000000-0006-0000-0100-000003000000}">
      <text>
        <r>
          <rPr>
            <sz val="10"/>
            <color indexed="56"/>
            <rFont val="Wells Fargo Sans SemiBold"/>
            <family val="2"/>
            <scheme val="major"/>
          </rPr>
          <t>Value must be numeric.  Use negative values for short tax lot positions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Talmage, Steve</author>
  </authors>
  <commentList>
    <comment ref="C7" authorId="0" shapeId="0" xr:uid="{00000000-0006-0000-0200-000001000000}">
      <text>
        <r>
          <rPr>
            <sz val="10"/>
            <color indexed="56"/>
            <rFont val="Wells Fargo Sans SemiBold"/>
            <family val="2"/>
            <scheme val="major"/>
          </rPr>
          <t>Enter 'Y' to restrict Buys or Sells of identified security</t>
        </r>
      </text>
    </comment>
    <comment ref="D7" authorId="0" shapeId="0" xr:uid="{00000000-0006-0000-0200-000002000000}">
      <text>
        <r>
          <rPr>
            <b/>
            <sz val="9"/>
            <color indexed="81"/>
            <rFont val="Tahoma"/>
            <family val="2"/>
          </rPr>
          <t>Talmage, Steve:</t>
        </r>
        <r>
          <rPr>
            <sz val="9"/>
            <color indexed="81"/>
            <rFont val="Tahoma"/>
            <family val="2"/>
          </rPr>
          <t xml:space="preserve">
Enter 'Y' to restrict Buys or Sells of identified security</t>
        </r>
      </text>
    </comment>
    <comment ref="E7" authorId="0" shapeId="0" xr:uid="{00000000-0006-0000-0200-000003000000}">
      <text>
        <r>
          <rPr>
            <sz val="10"/>
            <color indexed="56"/>
            <rFont val="Wells Fargo Sans SemiBold"/>
            <family val="2"/>
            <scheme val="major"/>
          </rPr>
          <t>Percentage</t>
        </r>
      </text>
    </comment>
    <comment ref="F7" authorId="0" shapeId="0" xr:uid="{00000000-0006-0000-0200-000004000000}">
      <text>
        <r>
          <rPr>
            <sz val="10"/>
            <color indexed="56"/>
            <rFont val="Wells Fargo Sans SemiBold"/>
            <family val="2"/>
            <scheme val="major"/>
          </rPr>
          <t>Percentage</t>
        </r>
      </text>
    </comment>
  </commentList>
</comments>
</file>

<file path=xl/sharedStrings.xml><?xml version="1.0" encoding="utf-8"?>
<sst xmlns="http://schemas.openxmlformats.org/spreadsheetml/2006/main" count="446" uniqueCount="267">
  <si>
    <t>Instructions</t>
  </si>
  <si>
    <t xml:space="preserve">Please use this form to receive a transition analysis for a new account or to amend the guidelines for an existing account. </t>
  </si>
  <si>
    <t>Step 1 - Account Information</t>
  </si>
  <si>
    <t>Client Name(s)*</t>
  </si>
  <si>
    <t>Enter</t>
  </si>
  <si>
    <t>Account Name*</t>
  </si>
  <si>
    <t>Group/Team Name</t>
  </si>
  <si>
    <t>Advisor Name*</t>
  </si>
  <si>
    <t>Advisor Email*</t>
  </si>
  <si>
    <t>Strategy*</t>
  </si>
  <si>
    <t>Choose One</t>
  </si>
  <si>
    <t>Credit Quality</t>
  </si>
  <si>
    <t>Tax Sensitivity</t>
  </si>
  <si>
    <t>Years to Transition</t>
  </si>
  <si>
    <t>* Required field</t>
  </si>
  <si>
    <t>Cusip (required)</t>
  </si>
  <si>
    <t>Purchase Date</t>
  </si>
  <si>
    <t>Cost Basis (USD)</t>
  </si>
  <si>
    <t>Quantity / Units</t>
  </si>
  <si>
    <t>Wells Fargo Asset Management - [SMA Name]</t>
  </si>
  <si>
    <t>Don't Buy</t>
  </si>
  <si>
    <t>Minimum Exposure</t>
  </si>
  <si>
    <t>Maximum Exposure</t>
  </si>
  <si>
    <t>Terms</t>
  </si>
  <si>
    <t>Description</t>
  </si>
  <si>
    <t>Tax State</t>
  </si>
  <si>
    <t>State where client pays taxes - used to determine state tax rates during transition</t>
  </si>
  <si>
    <t>Short Term Tax Rate (all inclusive)</t>
  </si>
  <si>
    <t>Used to determine taxes for short term gains</t>
  </si>
  <si>
    <t>Long Term Tax Rate (all inclusive)</t>
  </si>
  <si>
    <t>Used to determine taxes for long term gains</t>
  </si>
  <si>
    <t>Max Realized Gains Allowed</t>
  </si>
  <si>
    <t>Allows gains to be restricted when modeling the transition portfolio</t>
  </si>
  <si>
    <t>Number of years before transitioning to lowest tracking error of the model</t>
  </si>
  <si>
    <t>ST YTD Realized Gain/Loss</t>
  </si>
  <si>
    <t>Realized ST YTD Gains/Losses - used in transition cost analysis</t>
  </si>
  <si>
    <t>LT YTD Realized Gain/Loss</t>
  </si>
  <si>
    <t>Realized LT YTD Gains/Losses - used in transition cost analysis</t>
  </si>
  <si>
    <t>Carry Forward Losses</t>
  </si>
  <si>
    <t>Any carry forward losses from prior years, used in transition cost analysis</t>
  </si>
  <si>
    <t>Cash to Raise</t>
  </si>
  <si>
    <t>Specified by client if there is a need to raise cash, used in transition plan</t>
  </si>
  <si>
    <t>High – highly sensitive to capital gains, minimize tax costs, high tracking error to model</t>
  </si>
  <si>
    <t>Client sensitivity to tax cost when transitioning:</t>
  </si>
  <si>
    <t>Glossary of terms</t>
  </si>
  <si>
    <t>Medium – medium sensitivity to tax costs, balance tas cost and tracking error, mid0level tracking error to model</t>
  </si>
  <si>
    <t>Low – low tax sensitivity, high tax cost and low error to model</t>
  </si>
  <si>
    <t>Strategy</t>
  </si>
  <si>
    <t>TaxSensitivity</t>
  </si>
  <si>
    <t>YearsToTransition</t>
  </si>
  <si>
    <t>Nat/State</t>
  </si>
  <si>
    <t>YesNo</t>
  </si>
  <si>
    <t>Municipal Bond Ladder 1-10 Year</t>
  </si>
  <si>
    <t>AL</t>
  </si>
  <si>
    <t xml:space="preserve"> Alabama</t>
  </si>
  <si>
    <t>National</t>
  </si>
  <si>
    <t xml:space="preserve"> </t>
  </si>
  <si>
    <t>AK</t>
  </si>
  <si>
    <t xml:space="preserve"> Alaska</t>
  </si>
  <si>
    <t>State</t>
  </si>
  <si>
    <t>Y</t>
  </si>
  <si>
    <t>AZ</t>
  </si>
  <si>
    <t xml:space="preserve"> Arizona</t>
  </si>
  <si>
    <t>N</t>
  </si>
  <si>
    <t>AR</t>
  </si>
  <si>
    <t xml:space="preserve"> Arkansas</t>
  </si>
  <si>
    <t>CA</t>
  </si>
  <si>
    <t xml:space="preserve"> California</t>
  </si>
  <si>
    <t>CO</t>
  </si>
  <si>
    <t xml:space="preserve"> Colorado</t>
  </si>
  <si>
    <t>CT</t>
  </si>
  <si>
    <t xml:space="preserve"> Connecticut</t>
  </si>
  <si>
    <t>DE</t>
  </si>
  <si>
    <t xml:space="preserve"> Delaware</t>
  </si>
  <si>
    <t>FL</t>
  </si>
  <si>
    <t xml:space="preserve"> Florida</t>
  </si>
  <si>
    <t>GA</t>
  </si>
  <si>
    <t xml:space="preserve"> Georgia</t>
  </si>
  <si>
    <t>HI</t>
  </si>
  <si>
    <t xml:space="preserve"> Hawaii</t>
  </si>
  <si>
    <t>ID</t>
  </si>
  <si>
    <t xml:space="preserve"> Idaho</t>
  </si>
  <si>
    <t>IL</t>
  </si>
  <si>
    <t xml:space="preserve"> Illinois</t>
  </si>
  <si>
    <t>IN</t>
  </si>
  <si>
    <t xml:space="preserve"> Indiana</t>
  </si>
  <si>
    <t>IA</t>
  </si>
  <si>
    <t xml:space="preserve"> Iowa</t>
  </si>
  <si>
    <t>KS</t>
  </si>
  <si>
    <t xml:space="preserve"> Kansas</t>
  </si>
  <si>
    <t>KY</t>
  </si>
  <si>
    <t xml:space="preserve"> Kentucky</t>
  </si>
  <si>
    <t>LA</t>
  </si>
  <si>
    <t xml:space="preserve"> Louisiana</t>
  </si>
  <si>
    <t>ME</t>
  </si>
  <si>
    <t xml:space="preserve"> Maine</t>
  </si>
  <si>
    <t>MD</t>
  </si>
  <si>
    <t xml:space="preserve"> Maryland</t>
  </si>
  <si>
    <t>MA</t>
  </si>
  <si>
    <t xml:space="preserve"> Massachusetts</t>
  </si>
  <si>
    <t>MI</t>
  </si>
  <si>
    <t xml:space="preserve"> Michigan</t>
  </si>
  <si>
    <t>MN</t>
  </si>
  <si>
    <t xml:space="preserve"> Minnesota</t>
  </si>
  <si>
    <t>MS</t>
  </si>
  <si>
    <t xml:space="preserve"> Mississippi</t>
  </si>
  <si>
    <t>MO</t>
  </si>
  <si>
    <t xml:space="preserve"> Missouri</t>
  </si>
  <si>
    <t>MT</t>
  </si>
  <si>
    <t xml:space="preserve"> Montana</t>
  </si>
  <si>
    <t>NE</t>
  </si>
  <si>
    <t xml:space="preserve"> Nebraska</t>
  </si>
  <si>
    <t>NV</t>
  </si>
  <si>
    <t xml:space="preserve"> Nevada</t>
  </si>
  <si>
    <t>NH</t>
  </si>
  <si>
    <t xml:space="preserve"> New Hampshire</t>
  </si>
  <si>
    <t>NJ</t>
  </si>
  <si>
    <t xml:space="preserve"> New Jersey</t>
  </si>
  <si>
    <t>NM</t>
  </si>
  <si>
    <t xml:space="preserve"> New Mexico</t>
  </si>
  <si>
    <t>NY</t>
  </si>
  <si>
    <t xml:space="preserve"> New York</t>
  </si>
  <si>
    <t>NC</t>
  </si>
  <si>
    <t xml:space="preserve"> North Carolina</t>
  </si>
  <si>
    <t>ND</t>
  </si>
  <si>
    <t xml:space="preserve"> North Dakota</t>
  </si>
  <si>
    <t>OH</t>
  </si>
  <si>
    <t xml:space="preserve"> Ohio</t>
  </si>
  <si>
    <t>OK</t>
  </si>
  <si>
    <t xml:space="preserve"> Oklahoma</t>
  </si>
  <si>
    <t>OR</t>
  </si>
  <si>
    <t xml:space="preserve"> Oregon</t>
  </si>
  <si>
    <t>PA</t>
  </si>
  <si>
    <t xml:space="preserve"> Pennsylvania</t>
  </si>
  <si>
    <t>RI</t>
  </si>
  <si>
    <t xml:space="preserve"> Rhode Island</t>
  </si>
  <si>
    <t>SC</t>
  </si>
  <si>
    <t xml:space="preserve"> South Carolina</t>
  </si>
  <si>
    <t>SD</t>
  </si>
  <si>
    <t xml:space="preserve"> South Dakota</t>
  </si>
  <si>
    <t>TN</t>
  </si>
  <si>
    <t xml:space="preserve"> Tennessee</t>
  </si>
  <si>
    <t>TX</t>
  </si>
  <si>
    <t xml:space="preserve"> Texas</t>
  </si>
  <si>
    <t>UT</t>
  </si>
  <si>
    <t xml:space="preserve"> Utah</t>
  </si>
  <si>
    <t>VT</t>
  </si>
  <si>
    <t xml:space="preserve"> Vermont</t>
  </si>
  <si>
    <t>VA</t>
  </si>
  <si>
    <t xml:space="preserve"> Virginia</t>
  </si>
  <si>
    <t>WA</t>
  </si>
  <si>
    <t xml:space="preserve"> Washington</t>
  </si>
  <si>
    <t>WV</t>
  </si>
  <si>
    <t xml:space="preserve"> West Virginia</t>
  </si>
  <si>
    <t>WI</t>
  </si>
  <si>
    <t xml:space="preserve"> Wisconsin</t>
  </si>
  <si>
    <t>WY</t>
  </si>
  <si>
    <t xml:space="preserve"> Wyoming</t>
  </si>
  <si>
    <t>DC</t>
  </si>
  <si>
    <t xml:space="preserve"> District of Columbia</t>
  </si>
  <si>
    <t>AS</t>
  </si>
  <si>
    <t xml:space="preserve"> American Samoa</t>
  </si>
  <si>
    <t>GU</t>
  </si>
  <si>
    <t xml:space="preserve"> Guam</t>
  </si>
  <si>
    <t>MP</t>
  </si>
  <si>
    <t xml:space="preserve"> Northern Mariana Islands</t>
  </si>
  <si>
    <t>PR</t>
  </si>
  <si>
    <t xml:space="preserve"> Puerto Rico</t>
  </si>
  <si>
    <t>UM</t>
  </si>
  <si>
    <t xml:space="preserve"> United s Minor Outlying Islands</t>
  </si>
  <si>
    <t>VI</t>
  </si>
  <si>
    <t xml:space="preserve"> U.S. Virgin Islands</t>
  </si>
  <si>
    <t>Investment and Insurance Products are:</t>
  </si>
  <si>
    <t>• Not Insured by the FDIC or Any Federal Government Agency</t>
  </si>
  <si>
    <t>• Not a Deposit or Other Obligation of, or Guaranteed by, the Bank or Any Bank Affiliate</t>
  </si>
  <si>
    <t>• Subject to Investments Risks, Including Possible Loss of the Principal Amount Invested</t>
  </si>
  <si>
    <t>MARKETING COMMUNICATION</t>
  </si>
  <si>
    <t xml:space="preserve">FOR INVESTMENT PROFESSIONAL USE ONLY – NOT FOR USE WITH THE RETAIL PUBLIC </t>
  </si>
  <si>
    <t>Investments in fixed-income securities are subject to market, interest rate, credit and other risks. Bond prices fluctuate inversely to changes in interest rates. Therefore, a general rise in interest rates can result in the decline in the bond’s price. Credit risk is the risk that an issuer will default on payments of interest and/or principal. This risk is heightened in lower rated bonds. If sold prior to maturity, fixed income securities are subject to market risk. All fixed income investments may be worth less than their original cost upon redemption or maturity.</t>
  </si>
  <si>
    <t>Wells Fargo Asset Management (WFAM) is the trade name for certain investment advisory/management firms owned by Wells Fargo &amp; Company. These firms include but are not limited to Wells Capital Management Incorporated and Wells Fargo Funds Management, LLC. Certain products managed by WFAM entities are distributed by Wells Fargo Funds Distributor, LLC (a broker-dealer and Member FINRA).</t>
  </si>
  <si>
    <t>Wells Fargo Advisors is registered with the U.S. Securities and Exchange Commission and the Financial Industry Regulatory Authority, but is not licensed or registered with any financial services regulatory authority outside of the U.S. Non-U.S. residents who maintain U.S.-based financial services accounts with Wells Fargo Advisors may not be afforded certain protections conferred by legislation and regulations in their country of residence in respect of any investments, investment transactions or communications made with Wells Fargo Advisors. Wells Fargo Advisors is a trade name used by Wells Fargo Clearing Services, LLC and Wells Fargo Advisors Financial Network, LLC, members SIPC, separate registered broker-dealers and non-bank affiliates of Wells Fargo &amp; Company.</t>
  </si>
  <si>
    <t>This material is for general informational and educational purposes only and is NOT intended to provide investment advice or a recommendation of any kind — including a recommendation for any specific investment, strategy, or plan.</t>
  </si>
  <si>
    <t>Firm</t>
  </si>
  <si>
    <t>AMT Bonds</t>
  </si>
  <si>
    <t>FOR INVESTMENT PROFESSIONAL USE ONLY</t>
  </si>
  <si>
    <t xml:space="preserve">When complete, please email this template to:  </t>
  </si>
  <si>
    <t>N/A</t>
  </si>
  <si>
    <t>A</t>
  </si>
  <si>
    <t>Municipal Bond Ladder 1-10 Year California</t>
  </si>
  <si>
    <t>Municipal Bond Ladder 1-10 Year New York</t>
  </si>
  <si>
    <t>File Name</t>
  </si>
  <si>
    <t>[Select Strategy]</t>
  </si>
  <si>
    <t>Don't Sell</t>
  </si>
  <si>
    <t>Input</t>
  </si>
  <si>
    <t>Tax Lot Input</t>
  </si>
  <si>
    <t>Restrictions Input</t>
  </si>
  <si>
    <t>Disclosures</t>
  </si>
  <si>
    <t>Municipal Bond Ladder 1-20 Year</t>
  </si>
  <si>
    <t>Municipal Bond Ladder 1-20 Year California</t>
  </si>
  <si>
    <t>Funding Source</t>
  </si>
  <si>
    <t>Cash Only</t>
  </si>
  <si>
    <t>Securities Only</t>
  </si>
  <si>
    <t>Cash and Securities</t>
  </si>
  <si>
    <t>Funding Source*</t>
  </si>
  <si>
    <t>Municipal Bond Ladder 1-20 Year New York</t>
  </si>
  <si>
    <t>Municipal Bond Ladder 1-7 Year</t>
  </si>
  <si>
    <t>Municipal Bond Ladder 1-7 Year California</t>
  </si>
  <si>
    <t>Municipal Bond Ladder 1-7 Year New York</t>
  </si>
  <si>
    <t>PAR-0421-01923</t>
  </si>
  <si>
    <t>Wells Fargo Advisors (WFA)</t>
  </si>
  <si>
    <t>BBB</t>
  </si>
  <si>
    <t>Duration (Max Maturity)</t>
  </si>
  <si>
    <t>Corporate Bond Ladder 1-5 Year</t>
  </si>
  <si>
    <t>Corporate Bond Ladder 1-10 Year</t>
  </si>
  <si>
    <t>Max Maturity</t>
  </si>
  <si>
    <t>Cash (USD) Amount</t>
  </si>
  <si>
    <t>Customizations</t>
  </si>
  <si>
    <t>Credit</t>
  </si>
  <si>
    <t>Step 7 - Enter Account Restrictions</t>
  </si>
  <si>
    <t>Sector</t>
  </si>
  <si>
    <t>Yield</t>
  </si>
  <si>
    <t>State Preference</t>
  </si>
  <si>
    <t>Minimum Credit Quality</t>
  </si>
  <si>
    <r>
      <t xml:space="preserve">Step 4 - Enter Tax Information </t>
    </r>
    <r>
      <rPr>
        <sz val="10"/>
        <color theme="3"/>
        <rFont val="Wells Fargo Sans Light"/>
        <family val="2"/>
      </rPr>
      <t>(optional, but more information provides more accurate transition analysis and plan)</t>
    </r>
  </si>
  <si>
    <t>Step 5 - If funding includes cash enter total USD Cash Amount here</t>
  </si>
  <si>
    <t>Step 6 - Enter Tax Lot Data  (Important:  any matured bonds will be treated as cash and invested toward the model portfolio)</t>
  </si>
  <si>
    <t>v2.0.0</t>
  </si>
  <si>
    <t>Max Realized Short-Term Gains Allowed (Current Tax Year)</t>
  </si>
  <si>
    <t>Step 2 - Choose Strategy</t>
  </si>
  <si>
    <r>
      <t>State Preference Option</t>
    </r>
    <r>
      <rPr>
        <vertAlign val="superscript"/>
        <sz val="10"/>
        <color theme="3"/>
        <rFont val="Wells Fargo Sans"/>
        <family val="2"/>
        <scheme val="minor"/>
      </rPr>
      <t>[1]</t>
    </r>
  </si>
  <si>
    <r>
      <t>Short Term Tax Rate</t>
    </r>
    <r>
      <rPr>
        <vertAlign val="superscript"/>
        <sz val="10"/>
        <color theme="3"/>
        <rFont val="Wells Fargo Sans"/>
        <family val="2"/>
        <scheme val="minor"/>
      </rPr>
      <t>[3]</t>
    </r>
  </si>
  <si>
    <r>
      <t>Long Term Tax Rate</t>
    </r>
    <r>
      <rPr>
        <vertAlign val="superscript"/>
        <sz val="10"/>
        <color theme="3"/>
        <rFont val="Wells Fargo Sans"/>
        <family val="2"/>
        <scheme val="minor"/>
      </rPr>
      <t>[3]</t>
    </r>
  </si>
  <si>
    <t>[1] All states not listed as a “preference state” will be considered on a best effort basis without any guarantee of the percentage holdings in that state.</t>
  </si>
  <si>
    <t>[2] For customized maturity, either the maturity of total portfolio can be targeted (for example, maturity of the portfolio less than 3), or more commonly, client can specify parts of the ladder they want to exclude/include (example: 5-10 ladder instead of 1-10 ladder).</t>
  </si>
  <si>
    <t>[3] All inclusive of federal, state, and local taxes.  If not provided the highest federal tax rate will be used and no state tax rate included.</t>
  </si>
  <si>
    <t>[4] If not provided 0 will be used</t>
  </si>
  <si>
    <r>
      <t>Carry Forward Losses</t>
    </r>
    <r>
      <rPr>
        <vertAlign val="superscript"/>
        <sz val="10"/>
        <color theme="3"/>
        <rFont val="Wells Fargo Sans"/>
        <family val="2"/>
        <scheme val="minor"/>
      </rPr>
      <t>[4]</t>
    </r>
  </si>
  <si>
    <r>
      <t>Cash to Raise</t>
    </r>
    <r>
      <rPr>
        <vertAlign val="superscript"/>
        <sz val="10"/>
        <color theme="3"/>
        <rFont val="Wells Fargo Sans"/>
        <family val="2"/>
        <scheme val="minor"/>
      </rPr>
      <t>[4]</t>
    </r>
  </si>
  <si>
    <t xml:space="preserve">Platform Availability </t>
  </si>
  <si>
    <t>P-UMA</t>
  </si>
  <si>
    <t>PAN</t>
  </si>
  <si>
    <t>Minimums ($)</t>
  </si>
  <si>
    <t>150k</t>
  </si>
  <si>
    <t>2.5mm</t>
  </si>
  <si>
    <t>Maturity</t>
  </si>
  <si>
    <r>
      <t>ST YTD Realized Gain</t>
    </r>
    <r>
      <rPr>
        <vertAlign val="superscript"/>
        <sz val="10"/>
        <color theme="3"/>
        <rFont val="Wells Fargo Sans"/>
        <family val="2"/>
        <scheme val="minor"/>
      </rPr>
      <t>[4]</t>
    </r>
  </si>
  <si>
    <r>
      <t>ST YTD Realized Loss</t>
    </r>
    <r>
      <rPr>
        <vertAlign val="superscript"/>
        <sz val="10"/>
        <color theme="3"/>
        <rFont val="Wells Fargo Sans"/>
        <family val="2"/>
        <scheme val="minor"/>
      </rPr>
      <t>[4]</t>
    </r>
  </si>
  <si>
    <r>
      <t>LT YTD Realized Gain</t>
    </r>
    <r>
      <rPr>
        <vertAlign val="superscript"/>
        <sz val="10"/>
        <color theme="3"/>
        <rFont val="Wells Fargo Sans"/>
        <family val="2"/>
        <scheme val="minor"/>
      </rPr>
      <t>[4]</t>
    </r>
  </si>
  <si>
    <r>
      <t>LT YTD Realized Loss</t>
    </r>
    <r>
      <rPr>
        <vertAlign val="superscript"/>
        <sz val="10"/>
        <color theme="3"/>
        <rFont val="Wells Fargo Sans"/>
        <family val="2"/>
        <scheme val="minor"/>
      </rPr>
      <t>[4]</t>
    </r>
  </si>
  <si>
    <t>Strategy Details</t>
  </si>
  <si>
    <t>Total Market Value (including cash)</t>
  </si>
  <si>
    <t>Step 3 - Special Instructions</t>
  </si>
  <si>
    <t>Credit Quality Special Instructions</t>
  </si>
  <si>
    <t>Yield Special Instructions</t>
  </si>
  <si>
    <r>
      <t>Maturity Special Instructions</t>
    </r>
    <r>
      <rPr>
        <vertAlign val="superscript"/>
        <sz val="10"/>
        <color theme="3"/>
        <rFont val="Wells Fargo Sans"/>
        <family val="2"/>
        <scheme val="minor"/>
      </rPr>
      <t>[2]</t>
    </r>
  </si>
  <si>
    <t>Remi_SMA_Questionnaire_Input_V2.xlsm</t>
  </si>
  <si>
    <t>PAN Only</t>
  </si>
  <si>
    <r>
      <t>Maturity Profile</t>
    </r>
    <r>
      <rPr>
        <vertAlign val="superscript"/>
        <sz val="10"/>
        <color theme="3"/>
        <rFont val="Wells Fargo Sans"/>
        <family val="2"/>
        <scheme val="minor"/>
      </rPr>
      <t>[2]</t>
    </r>
  </si>
  <si>
    <t>Customizations Allowed</t>
  </si>
  <si>
    <t>Sector Special Instructions</t>
  </si>
  <si>
    <t>National/State Option</t>
  </si>
  <si>
    <t>-</t>
  </si>
  <si>
    <t>Michael Dry</t>
  </si>
  <si>
    <t>Michael.Drylewicz@wellsfargo.com</t>
  </si>
  <si>
    <t>MichaelTest</t>
  </si>
  <si>
    <t>DryTest1</t>
  </si>
  <si>
    <t>000000BLA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</si>
</sst>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0.00"/>
  </numFmts>
  <fonts count="38" x14ac:knownFonts="1">
    <font>
      <sz val="11"/>
      <color theme="1"/>
      <name val="Wells Fargo Sans"/>
      <family val="2"/>
      <scheme val="minor"/>
    </font>
    <font>
      <sz val="10"/>
      <color theme="1"/>
      <name val="Wells Fargo Sans"/>
      <family val="2"/>
      <scheme val="minor"/>
    </font>
    <font>
      <b/>
      <sz val="11"/>
      <color theme="3"/>
      <name val="Wells Fargo Sans"/>
      <family val="2"/>
      <scheme val="minor"/>
    </font>
    <font>
      <sz val="11"/>
      <color theme="3"/>
      <name val="Wells Fargo Sans"/>
      <family val="2"/>
      <scheme val="minor"/>
    </font>
    <font>
      <sz val="10"/>
      <color theme="3"/>
      <name val="Wells Fargo Sans"/>
      <family val="2"/>
      <scheme val="minor"/>
    </font>
    <font>
      <b/>
      <sz val="10"/>
      <color theme="3"/>
      <name val="Wells Fargo Sans"/>
      <family val="2"/>
      <scheme val="minor"/>
    </font>
    <font>
      <sz val="9"/>
      <color theme="1"/>
      <name val="Wells Fargo Sans"/>
      <family val="2"/>
      <scheme val="minor"/>
    </font>
    <font>
      <u/>
      <sz val="11"/>
      <color theme="10"/>
      <name val="Wells Fargo Sans"/>
      <family val="2"/>
      <scheme val="minor"/>
    </font>
    <font>
      <b/>
      <sz val="9"/>
      <color indexed="81"/>
      <name val="Tahoma"/>
      <family val="2"/>
    </font>
    <font>
      <sz val="9"/>
      <color indexed="81"/>
      <name val="Tahoma"/>
      <family val="2"/>
    </font>
    <font>
      <b/>
      <sz val="9"/>
      <color theme="1"/>
      <name val="Wells Fargo Sans"/>
      <family val="2"/>
      <scheme val="minor"/>
    </font>
    <font>
      <sz val="16"/>
      <color theme="1"/>
      <name val="Wells Fargo Sans"/>
      <family val="2"/>
      <scheme val="minor"/>
    </font>
    <font>
      <sz val="16"/>
      <color theme="3"/>
      <name val="Wells Fargo Sans SemiBold"/>
      <family val="2"/>
      <scheme val="major"/>
    </font>
    <font>
      <sz val="16"/>
      <color theme="3"/>
      <name val="Wells Fargo Sans"/>
      <family val="2"/>
      <scheme val="minor"/>
    </font>
    <font>
      <sz val="10"/>
      <name val="Arial"/>
      <family val="2"/>
    </font>
    <font>
      <u/>
      <sz val="10"/>
      <color theme="3"/>
      <name val="Wells Fargo Sans"/>
      <family val="2"/>
      <scheme val="minor"/>
    </font>
    <font>
      <sz val="16"/>
      <color theme="0"/>
      <name val="Wells Fargo Sans SemiBold"/>
      <family val="2"/>
      <scheme val="major"/>
    </font>
    <font>
      <u/>
      <sz val="16"/>
      <color theme="0"/>
      <name val="Wells Fargo Sans SemiBold"/>
      <family val="2"/>
      <scheme val="major"/>
    </font>
    <font>
      <b/>
      <sz val="10"/>
      <color theme="1"/>
      <name val="Wells Fargo Sans"/>
      <family val="2"/>
      <scheme val="minor"/>
    </font>
    <font>
      <sz val="11"/>
      <color theme="1"/>
      <name val="Wells Fargo Sans"/>
      <family val="2"/>
      <scheme val="minor"/>
    </font>
    <font>
      <sz val="9"/>
      <color theme="7"/>
      <name val="Wells Fargo Sans SemiBold"/>
      <family val="2"/>
      <scheme val="major"/>
    </font>
    <font>
      <sz val="16"/>
      <color rgb="FF946E3A"/>
      <name val="Wells Fargo Sans"/>
      <family val="2"/>
      <scheme val="minor"/>
    </font>
    <font>
      <sz val="11"/>
      <color theme="3"/>
      <name val="Wells Fargo Sans SemiBold"/>
      <family val="2"/>
      <scheme val="major"/>
    </font>
    <font>
      <sz val="11"/>
      <color theme="7"/>
      <name val="Wells Fargo Sans SemiBold"/>
      <family val="2"/>
      <scheme val="major"/>
    </font>
    <font>
      <sz val="10"/>
      <color theme="3"/>
      <name val="Wells Fargo Sans Light"/>
      <family val="2"/>
    </font>
    <font>
      <sz val="10"/>
      <color indexed="56"/>
      <name val="Wells Fargo Sans SemiBold"/>
      <family val="2"/>
      <scheme val="major"/>
    </font>
    <font>
      <sz val="9"/>
      <color theme="3"/>
      <name val="Wells Fargo Sans Display"/>
      <family val="2"/>
    </font>
    <font>
      <sz val="14"/>
      <color theme="7"/>
      <name val="Wells Fargo Sans SemiBold"/>
      <family val="2"/>
      <scheme val="major"/>
    </font>
    <font>
      <sz val="12"/>
      <color theme="3"/>
      <name val="Wells Fargo Sans"/>
      <family val="2"/>
      <scheme val="minor"/>
    </font>
    <font>
      <sz val="10.5"/>
      <color theme="3"/>
      <name val="Wells Fargo Sans Light"/>
      <family val="2"/>
    </font>
    <font>
      <sz val="10"/>
      <color theme="3"/>
      <name val="Wells Fargo Sans SemiBold"/>
      <family val="2"/>
      <scheme val="major"/>
    </font>
    <font>
      <sz val="12"/>
      <color theme="3"/>
      <name val="Wells Fargo Sans Condensed"/>
      <family val="2"/>
    </font>
    <font>
      <sz val="11"/>
      <color theme="1"/>
      <name val="Wells Fargo Sans Condensed"/>
      <family val="2"/>
    </font>
    <font>
      <b/>
      <sz val="11"/>
      <color theme="1"/>
      <name val="Wells Fargo Sans"/>
      <family val="2"/>
      <scheme val="minor"/>
    </font>
    <font>
      <vertAlign val="superscript"/>
      <sz val="10"/>
      <color theme="3"/>
      <name val="Wells Fargo Sans"/>
      <family val="2"/>
      <scheme val="minor"/>
    </font>
    <font>
      <b/>
      <sz val="10"/>
      <name val="Wells Fargo Sans"/>
      <family val="2"/>
      <scheme val="minor"/>
    </font>
    <font>
      <b/>
      <sz val="10"/>
      <color theme="0"/>
      <name val="Wells Fargo Sans"/>
      <family val="2"/>
      <scheme val="minor"/>
    </font>
    <font>
      <sz val="10"/>
      <name val="Wells Fargo Sans"/>
      <family val="2"/>
      <scheme val="minor"/>
    </font>
  </fonts>
  <fills count="9">
    <fill>
      <patternFill patternType="none"/>
    </fill>
    <fill>
      <patternFill patternType="gray125"/>
    </fill>
    <fill>
      <patternFill patternType="solid">
        <fgColor rgb="FF946E3A"/>
        <bgColor indexed="64"/>
      </patternFill>
    </fill>
    <fill>
      <patternFill patternType="solid">
        <fgColor theme="2"/>
        <bgColor indexed="64"/>
      </patternFill>
    </fill>
    <fill>
      <patternFill patternType="solid">
        <fgColor theme="0"/>
        <bgColor indexed="64"/>
      </patternFill>
    </fill>
    <fill>
      <patternFill patternType="solid">
        <fgColor theme="2" tint="-4.9989318521683403E-2"/>
        <bgColor indexed="64"/>
      </patternFill>
    </fill>
    <fill>
      <patternFill patternType="solid">
        <fgColor rgb="FFFFFF00"/>
        <bgColor indexed="64"/>
      </patternFill>
    </fill>
    <fill>
      <patternFill patternType="solid">
        <fgColor theme="7"/>
        <bgColor indexed="64"/>
      </patternFill>
    </fill>
    <fill>
      <patternFill patternType="solid">
        <fgColor theme="0" tint="-4.9989318521683403E-2"/>
        <bgColor indexed="64"/>
      </patternFill>
    </fill>
  </fills>
  <borders count="5">
    <border>
      <left/>
      <right/>
      <top/>
      <bottom/>
      <diagonal/>
    </border>
    <border>
      <left/>
      <right/>
      <top/>
      <bottom style="thin">
        <color theme="7"/>
      </bottom>
      <diagonal/>
    </border>
    <border>
      <left/>
      <right/>
      <top style="thin">
        <color rgb="FF999999"/>
      </top>
      <bottom style="thin">
        <color rgb="FF999999"/>
      </bottom>
      <diagonal/>
    </border>
    <border>
      <left/>
      <right/>
      <top/>
      <bottom style="thin">
        <color rgb="FF999999"/>
      </bottom>
      <diagonal/>
    </border>
    <border>
      <left style="thin">
        <color indexed="64"/>
      </left>
      <right style="thin">
        <color indexed="64"/>
      </right>
      <top style="thin">
        <color indexed="64"/>
      </top>
      <bottom style="thin">
        <color indexed="64"/>
      </bottom>
      <diagonal/>
    </border>
  </borders>
  <cellStyleXfs count="4">
    <xf numFmtId="0" fontId="0" fillId="0" borderId="0"/>
    <xf numFmtId="0" fontId="7" fillId="0" borderId="0" applyNumberFormat="0" applyFill="0" applyBorder="0" applyAlignment="0" applyProtection="0"/>
    <xf numFmtId="0" fontId="14" fillId="0" borderId="0"/>
    <xf numFmtId="9" fontId="19" fillId="0" borderId="0" applyFont="0" applyFill="0" applyBorder="0" applyAlignment="0" applyProtection="0"/>
  </cellStyleXfs>
  <cellXfs count="128">
    <xf numFmtId="0" fontId="0" fillId="0" borderId="0" xfId="0"/>
    <xf numFmtId="0" fontId="6" fillId="0" borderId="0" xfId="0" applyFont="1"/>
    <xf numFmtId="0" fontId="0" fillId="0" borderId="0" xfId="0" applyFill="1"/>
    <xf numFmtId="0" fontId="6" fillId="4" borderId="0" xfId="0" applyFont="1" applyFill="1"/>
    <xf numFmtId="0" fontId="10" fillId="2" borderId="0" xfId="0" applyFont="1" applyFill="1" applyAlignment="1">
      <alignment horizontal="center" vertical="center"/>
    </xf>
    <xf numFmtId="0" fontId="10" fillId="4" borderId="0" xfId="0" applyFont="1" applyFill="1" applyAlignment="1">
      <alignment horizontal="center" vertical="center"/>
    </xf>
    <xf numFmtId="0" fontId="0" fillId="0" borderId="0" xfId="0" applyFill="1" applyAlignment="1">
      <alignment vertical="top" wrapText="1"/>
    </xf>
    <xf numFmtId="0" fontId="0" fillId="0" borderId="0" xfId="0" applyFont="1" applyFill="1"/>
    <xf numFmtId="0" fontId="7" fillId="0" borderId="0" xfId="1" applyFill="1"/>
    <xf numFmtId="0" fontId="11" fillId="0" borderId="0" xfId="0" applyFont="1" applyFill="1"/>
    <xf numFmtId="0" fontId="12" fillId="0" borderId="0" xfId="0" applyFont="1" applyFill="1"/>
    <xf numFmtId="0" fontId="13" fillId="0" borderId="0" xfId="0" applyFont="1" applyFill="1"/>
    <xf numFmtId="0" fontId="3" fillId="0" borderId="0" xfId="0" applyFont="1" applyFill="1"/>
    <xf numFmtId="0" fontId="3" fillId="3" borderId="0" xfId="0" applyFont="1" applyFill="1"/>
    <xf numFmtId="0" fontId="3" fillId="0" borderId="0" xfId="0" applyFont="1"/>
    <xf numFmtId="0" fontId="0" fillId="0" borderId="0" xfId="0" applyAlignment="1">
      <alignment horizontal="left"/>
    </xf>
    <xf numFmtId="0" fontId="5" fillId="0" borderId="0" xfId="0" applyFont="1" applyAlignment="1">
      <alignment horizontal="left"/>
    </xf>
    <xf numFmtId="0" fontId="4" fillId="0" borderId="0" xfId="0" applyFont="1"/>
    <xf numFmtId="0" fontId="4" fillId="0" borderId="0" xfId="0" applyFont="1" applyAlignment="1">
      <alignment horizontal="left"/>
    </xf>
    <xf numFmtId="0" fontId="3" fillId="0" borderId="0" xfId="0" applyFont="1" applyAlignment="1">
      <alignment horizontal="left"/>
    </xf>
    <xf numFmtId="0" fontId="10" fillId="4" borderId="0" xfId="0" applyFont="1" applyFill="1" applyAlignment="1">
      <alignment horizontal="left" vertical="center"/>
    </xf>
    <xf numFmtId="0" fontId="10" fillId="2" borderId="0" xfId="0" applyFont="1" applyFill="1" applyAlignment="1">
      <alignment horizontal="left" vertical="center"/>
    </xf>
    <xf numFmtId="0" fontId="13" fillId="0" borderId="0" xfId="0" applyFont="1" applyFill="1" applyAlignment="1">
      <alignment horizontal="left"/>
    </xf>
    <xf numFmtId="0" fontId="4" fillId="0" borderId="0" xfId="0" applyFont="1" applyFill="1"/>
    <xf numFmtId="0" fontId="0" fillId="0" borderId="0" xfId="0" applyProtection="1">
      <protection locked="0"/>
    </xf>
    <xf numFmtId="0" fontId="18" fillId="0" borderId="0" xfId="0" applyFont="1" applyAlignment="1">
      <alignment horizontal="left"/>
    </xf>
    <xf numFmtId="0" fontId="10" fillId="0" borderId="0" xfId="0" applyFont="1" applyFill="1" applyAlignment="1">
      <alignment horizontal="center" vertical="center"/>
    </xf>
    <xf numFmtId="0" fontId="6" fillId="0" borderId="0" xfId="0" applyFont="1" applyFill="1"/>
    <xf numFmtId="0" fontId="20" fillId="4" borderId="0" xfId="0" applyFont="1" applyFill="1" applyAlignment="1">
      <alignment horizontal="center" vertical="center"/>
    </xf>
    <xf numFmtId="0" fontId="21" fillId="0" borderId="0" xfId="0" applyFont="1" applyFill="1"/>
    <xf numFmtId="0" fontId="3" fillId="0" borderId="0" xfId="0" applyFont="1" applyFill="1" applyAlignment="1">
      <alignment vertical="center"/>
    </xf>
    <xf numFmtId="0" fontId="4" fillId="0" borderId="0" xfId="0" applyFont="1" applyFill="1" applyAlignment="1">
      <alignment vertical="center"/>
    </xf>
    <xf numFmtId="0" fontId="4" fillId="0" borderId="0" xfId="0" applyFont="1" applyFill="1" applyAlignment="1">
      <alignment vertical="center" wrapText="1"/>
    </xf>
    <xf numFmtId="0" fontId="4" fillId="0" borderId="0" xfId="0" applyFont="1" applyFill="1" applyAlignment="1" applyProtection="1">
      <alignment horizontal="left" vertical="center"/>
      <protection locked="0"/>
    </xf>
    <xf numFmtId="0" fontId="4" fillId="0" borderId="0" xfId="0" applyFont="1" applyFill="1" applyAlignment="1">
      <alignment horizontal="left" vertical="center"/>
    </xf>
    <xf numFmtId="0" fontId="4" fillId="0" borderId="0" xfId="0" applyFont="1" applyFill="1" applyAlignment="1" applyProtection="1">
      <alignment horizontal="left" vertical="center"/>
    </xf>
    <xf numFmtId="0" fontId="15" fillId="0" borderId="0" xfId="1" applyFont="1" applyFill="1" applyAlignment="1">
      <alignment vertical="center"/>
    </xf>
    <xf numFmtId="0" fontId="0" fillId="0" borderId="0" xfId="0" applyFill="1" applyAlignment="1">
      <alignment vertical="center"/>
    </xf>
    <xf numFmtId="0" fontId="0" fillId="0" borderId="0" xfId="0" applyAlignment="1">
      <alignment vertical="center"/>
    </xf>
    <xf numFmtId="0" fontId="3" fillId="0" borderId="0" xfId="0" applyFont="1" applyFill="1" applyAlignment="1">
      <alignment vertical="top"/>
    </xf>
    <xf numFmtId="0" fontId="23" fillId="0" borderId="1" xfId="0" applyFont="1" applyFill="1" applyBorder="1" applyAlignment="1">
      <alignment vertical="center"/>
    </xf>
    <xf numFmtId="49" fontId="4" fillId="0" borderId="0" xfId="0" applyNumberFormat="1" applyFont="1" applyBorder="1" applyProtection="1">
      <protection locked="0"/>
    </xf>
    <xf numFmtId="49" fontId="4" fillId="0" borderId="2" xfId="0" applyNumberFormat="1" applyFont="1" applyBorder="1" applyProtection="1">
      <protection locked="0"/>
    </xf>
    <xf numFmtId="0" fontId="4" fillId="0" borderId="2" xfId="0" applyFont="1" applyBorder="1" applyProtection="1">
      <protection locked="0"/>
    </xf>
    <xf numFmtId="49" fontId="4" fillId="0" borderId="2" xfId="0" applyNumberFormat="1" applyFont="1" applyFill="1" applyBorder="1" applyProtection="1">
      <protection locked="0"/>
    </xf>
    <xf numFmtId="0" fontId="4" fillId="0" borderId="2" xfId="0" applyFont="1" applyFill="1" applyBorder="1" applyProtection="1">
      <protection locked="0"/>
    </xf>
    <xf numFmtId="49" fontId="5" fillId="0" borderId="2" xfId="0" applyNumberFormat="1" applyFont="1" applyFill="1" applyBorder="1" applyProtection="1">
      <protection locked="0"/>
    </xf>
    <xf numFmtId="49" fontId="1" fillId="0" borderId="2" xfId="0" applyNumberFormat="1" applyFont="1" applyBorder="1" applyProtection="1">
      <protection locked="0"/>
    </xf>
    <xf numFmtId="0" fontId="1" fillId="0" borderId="2" xfId="0" applyFont="1" applyBorder="1" applyProtection="1">
      <protection locked="0"/>
    </xf>
    <xf numFmtId="49" fontId="0" fillId="0" borderId="2" xfId="0" applyNumberFormat="1" applyBorder="1" applyProtection="1">
      <protection locked="0"/>
    </xf>
    <xf numFmtId="0" fontId="0" fillId="0" borderId="2" xfId="0" applyBorder="1" applyProtection="1">
      <protection locked="0"/>
    </xf>
    <xf numFmtId="0" fontId="2" fillId="5" borderId="0" xfId="0" applyFont="1" applyFill="1" applyBorder="1" applyAlignment="1">
      <alignment horizontal="left" vertical="center"/>
    </xf>
    <xf numFmtId="9" fontId="4" fillId="0" borderId="2" xfId="3" applyFont="1" applyBorder="1" applyProtection="1">
      <protection locked="0"/>
    </xf>
    <xf numFmtId="49" fontId="4" fillId="0" borderId="3" xfId="0" applyNumberFormat="1" applyFont="1" applyBorder="1" applyProtection="1">
      <protection locked="0"/>
    </xf>
    <xf numFmtId="0" fontId="4" fillId="0" borderId="3" xfId="0" applyFont="1" applyBorder="1" applyProtection="1">
      <protection locked="0"/>
    </xf>
    <xf numFmtId="9" fontId="4" fillId="0" borderId="3" xfId="3" applyFont="1" applyBorder="1" applyProtection="1">
      <protection locked="0"/>
    </xf>
    <xf numFmtId="0" fontId="22" fillId="5" borderId="0" xfId="0" applyFont="1" applyFill="1" applyBorder="1" applyAlignment="1">
      <alignment horizontal="left" vertical="center"/>
    </xf>
    <xf numFmtId="0" fontId="22" fillId="5" borderId="0" xfId="0" applyFont="1" applyFill="1" applyBorder="1" applyAlignment="1">
      <alignment vertical="center"/>
    </xf>
    <xf numFmtId="0" fontId="2" fillId="0" borderId="0" xfId="0" applyFont="1" applyFill="1" applyBorder="1" applyAlignment="1">
      <alignment vertical="center"/>
    </xf>
    <xf numFmtId="9" fontId="4" fillId="0" borderId="2" xfId="3" applyFont="1" applyFill="1" applyBorder="1" applyProtection="1">
      <protection locked="0"/>
    </xf>
    <xf numFmtId="9" fontId="1" fillId="0" borderId="2" xfId="3" applyFont="1" applyBorder="1" applyProtection="1">
      <protection locked="0"/>
    </xf>
    <xf numFmtId="9" fontId="0" fillId="0" borderId="2" xfId="3" applyFont="1" applyBorder="1" applyProtection="1">
      <protection locked="0"/>
    </xf>
    <xf numFmtId="9" fontId="0" fillId="0" borderId="0" xfId="3" applyFont="1" applyProtection="1">
      <protection locked="0"/>
    </xf>
    <xf numFmtId="0" fontId="2" fillId="0" borderId="0" xfId="0" applyFont="1" applyFill="1" applyAlignment="1">
      <alignment horizontal="left" vertical="center"/>
    </xf>
    <xf numFmtId="0" fontId="0" fillId="0" borderId="0" xfId="0" applyFont="1" applyAlignment="1">
      <alignment horizontal="left" vertical="center"/>
    </xf>
    <xf numFmtId="0" fontId="22" fillId="0" borderId="0" xfId="0" applyFont="1" applyFill="1" applyAlignment="1">
      <alignment horizontal="left"/>
    </xf>
    <xf numFmtId="0" fontId="4" fillId="0" borderId="0" xfId="0" applyFont="1" applyAlignment="1">
      <alignment vertical="center"/>
    </xf>
    <xf numFmtId="0" fontId="4" fillId="0" borderId="0" xfId="0" applyFont="1" applyAlignment="1">
      <alignment vertical="center" wrapText="1"/>
    </xf>
    <xf numFmtId="0" fontId="4" fillId="0" borderId="0" xfId="0" applyFont="1" applyAlignment="1"/>
    <xf numFmtId="0" fontId="26" fillId="0" borderId="0" xfId="0" applyFont="1" applyAlignment="1">
      <alignment horizontal="right" wrapText="1"/>
    </xf>
    <xf numFmtId="0" fontId="27" fillId="0" borderId="0" xfId="0" applyFont="1" applyFill="1" applyAlignment="1">
      <alignment vertical="center"/>
    </xf>
    <xf numFmtId="0" fontId="28" fillId="0" borderId="0" xfId="0" applyFont="1" applyFill="1" applyAlignment="1">
      <alignment vertical="center"/>
    </xf>
    <xf numFmtId="0" fontId="23" fillId="0" borderId="1" xfId="0" applyFont="1" applyFill="1" applyBorder="1" applyAlignment="1">
      <alignment vertical="top"/>
    </xf>
    <xf numFmtId="0" fontId="3" fillId="0" borderId="1" xfId="0" applyFont="1" applyFill="1" applyBorder="1" applyAlignment="1">
      <alignment vertical="top"/>
    </xf>
    <xf numFmtId="0" fontId="17" fillId="0" borderId="0" xfId="1" applyFont="1" applyFill="1" applyAlignment="1">
      <alignment vertical="center"/>
    </xf>
    <xf numFmtId="0" fontId="16" fillId="0" borderId="0" xfId="0" applyFont="1" applyFill="1"/>
    <xf numFmtId="0" fontId="16" fillId="0" borderId="0" xfId="0" applyFont="1" applyFill="1" applyAlignment="1">
      <alignment vertical="center"/>
    </xf>
    <xf numFmtId="0" fontId="3" fillId="0" borderId="0" xfId="0" applyFont="1" applyFill="1" applyBorder="1" applyAlignment="1">
      <alignment vertical="center"/>
    </xf>
    <xf numFmtId="0" fontId="3" fillId="0" borderId="2" xfId="0" applyFont="1" applyBorder="1" applyAlignment="1">
      <alignment vertical="center"/>
    </xf>
    <xf numFmtId="0" fontId="29" fillId="0" borderId="0" xfId="0" applyFont="1" applyFill="1" applyAlignment="1">
      <alignment vertical="center"/>
    </xf>
    <xf numFmtId="0" fontId="29" fillId="0" borderId="0" xfId="0" applyFont="1" applyFill="1" applyBorder="1" applyAlignment="1">
      <alignment vertical="center"/>
    </xf>
    <xf numFmtId="0" fontId="29" fillId="0" borderId="2" xfId="0" applyFont="1" applyBorder="1" applyAlignment="1">
      <alignment vertical="center"/>
    </xf>
    <xf numFmtId="0" fontId="3" fillId="3" borderId="1" xfId="0" applyFont="1" applyFill="1" applyBorder="1"/>
    <xf numFmtId="0" fontId="4" fillId="6" borderId="0" xfId="0" applyFont="1" applyFill="1" applyAlignment="1">
      <alignment vertical="center"/>
    </xf>
    <xf numFmtId="14" fontId="4" fillId="0" borderId="2" xfId="0" applyNumberFormat="1" applyFont="1" applyBorder="1" applyAlignment="1" applyProtection="1">
      <alignment horizontal="left" vertical="top"/>
      <protection locked="0"/>
    </xf>
    <xf numFmtId="3" fontId="4" fillId="0" borderId="2" xfId="0" applyNumberFormat="1" applyFont="1" applyBorder="1" applyAlignment="1" applyProtection="1">
      <alignment horizontal="left" vertical="top"/>
      <protection locked="0"/>
    </xf>
    <xf numFmtId="0" fontId="22" fillId="0" borderId="0" xfId="0" applyFont="1" applyFill="1"/>
    <xf numFmtId="0" fontId="23" fillId="0" borderId="0" xfId="0" applyFont="1" applyFill="1" applyBorder="1" applyAlignment="1">
      <alignment vertical="center"/>
    </xf>
    <xf numFmtId="0" fontId="22" fillId="0" borderId="0" xfId="0" applyFont="1" applyFill="1" applyAlignment="1">
      <alignment vertical="center"/>
    </xf>
    <xf numFmtId="0" fontId="30" fillId="0" borderId="0" xfId="0" applyFont="1" applyFill="1" applyAlignment="1">
      <alignment vertical="center"/>
    </xf>
    <xf numFmtId="0" fontId="1" fillId="0" borderId="0" xfId="0" applyFont="1" applyAlignment="1">
      <alignment horizontal="left"/>
    </xf>
    <xf numFmtId="0" fontId="1" fillId="0" borderId="0" xfId="0" applyFont="1"/>
    <xf numFmtId="4" fontId="4" fillId="0" borderId="4" xfId="0" applyNumberFormat="1" applyFont="1" applyFill="1" applyBorder="1" applyAlignment="1" applyProtection="1">
      <alignment horizontal="left" vertical="center"/>
      <protection locked="0"/>
    </xf>
    <xf numFmtId="0" fontId="3" fillId="0" borderId="0" xfId="0" applyFont="1" applyFill="1" applyBorder="1" applyAlignment="1">
      <alignment vertical="top"/>
    </xf>
    <xf numFmtId="0" fontId="0" fillId="0" borderId="0" xfId="0" applyAlignment="1" applyProtection="1">
      <alignment horizontal="left" vertical="top"/>
      <protection locked="0"/>
    </xf>
    <xf numFmtId="3" fontId="0" fillId="0" borderId="0" xfId="0" applyNumberFormat="1" applyAlignment="1" applyProtection="1">
      <alignment horizontal="left" vertical="top"/>
      <protection locked="0"/>
    </xf>
    <xf numFmtId="0" fontId="31" fillId="6" borderId="0" xfId="0" applyFont="1" applyFill="1" applyAlignment="1">
      <alignment vertical="center"/>
    </xf>
    <xf numFmtId="0" fontId="31" fillId="0" borderId="0" xfId="0" applyFont="1" applyFill="1" applyAlignment="1">
      <alignment vertical="center"/>
    </xf>
    <xf numFmtId="0" fontId="32" fillId="0" borderId="0" xfId="0" applyFont="1" applyAlignment="1">
      <alignment vertical="center"/>
    </xf>
    <xf numFmtId="0" fontId="18" fillId="4" borderId="0" xfId="0" applyFont="1" applyFill="1" applyAlignment="1">
      <alignment horizontal="center" vertical="center"/>
    </xf>
    <xf numFmtId="0" fontId="18" fillId="2" borderId="0" xfId="0" applyFont="1" applyFill="1" applyAlignment="1">
      <alignment horizontal="center" vertical="center"/>
    </xf>
    <xf numFmtId="0" fontId="1" fillId="0" borderId="0" xfId="0" applyFont="1" applyFill="1"/>
    <xf numFmtId="0" fontId="2" fillId="0" borderId="0" xfId="0" applyFont="1" applyFill="1"/>
    <xf numFmtId="0" fontId="33" fillId="0" borderId="0" xfId="0" applyFont="1" applyFill="1"/>
    <xf numFmtId="0" fontId="2" fillId="0" borderId="0" xfId="0" applyFont="1" applyFill="1" applyAlignment="1">
      <alignment horizontal="left"/>
    </xf>
    <xf numFmtId="0" fontId="5" fillId="0" borderId="4" xfId="0" applyFont="1" applyBorder="1" applyAlignment="1">
      <alignment horizontal="left"/>
    </xf>
    <xf numFmtId="0" fontId="4" fillId="0" borderId="4" xfId="0" applyFont="1" applyBorder="1" applyAlignment="1">
      <alignment horizontal="left"/>
    </xf>
    <xf numFmtId="0" fontId="4" fillId="0" borderId="4" xfId="0" applyFont="1" applyBorder="1"/>
    <xf numFmtId="0" fontId="4" fillId="0" borderId="4" xfId="0" applyFont="1" applyBorder="1" applyAlignment="1">
      <alignment horizontal="center"/>
    </xf>
    <xf numFmtId="0" fontId="4" fillId="8" borderId="4" xfId="0" applyFont="1" applyFill="1" applyBorder="1" applyAlignment="1">
      <alignment horizontal="center"/>
    </xf>
    <xf numFmtId="0" fontId="4" fillId="0" borderId="0" xfId="0" applyFont="1" applyFill="1" applyBorder="1" applyAlignment="1">
      <alignment vertical="center"/>
    </xf>
    <xf numFmtId="0" fontId="35" fillId="0" borderId="4" xfId="0" applyFont="1" applyBorder="1" applyAlignment="1">
      <alignment horizontal="center"/>
    </xf>
    <xf numFmtId="0" fontId="18" fillId="0" borderId="4" xfId="0" applyFont="1" applyBorder="1" applyAlignment="1">
      <alignment horizontal="left"/>
    </xf>
    <xf numFmtId="0" fontId="18" fillId="0" borderId="4" xfId="0" applyFont="1" applyFill="1" applyBorder="1"/>
    <xf numFmtId="0" fontId="5" fillId="0" borderId="4" xfId="0" applyFont="1" applyFill="1" applyBorder="1"/>
    <xf numFmtId="0" fontId="1" fillId="0" borderId="4" xfId="0" applyFont="1" applyBorder="1" applyAlignment="1">
      <alignment horizontal="center"/>
    </xf>
    <xf numFmtId="0" fontId="37" fillId="4" borderId="4" xfId="0" applyFont="1" applyFill="1" applyBorder="1" applyAlignment="1">
      <alignment horizontal="center" vertical="center"/>
    </xf>
    <xf numFmtId="10" fontId="4" fillId="0" borderId="0" xfId="0" applyNumberFormat="1" applyFont="1" applyFill="1" applyAlignment="1" applyProtection="1">
      <alignment horizontal="left" vertical="center"/>
      <protection locked="0"/>
    </xf>
    <xf numFmtId="4" fontId="3" fillId="0" borderId="0" xfId="0" applyNumberFormat="1" applyFont="1" applyFill="1" applyAlignment="1" applyProtection="1">
      <alignment horizontal="left" vertical="center"/>
    </xf>
    <xf numFmtId="0" fontId="4" fillId="0" borderId="4" xfId="0" quotePrefix="1" applyFont="1" applyBorder="1" applyAlignment="1">
      <alignment horizontal="center"/>
    </xf>
    <xf numFmtId="14" fontId="4" fillId="0" borderId="0" xfId="0" applyNumberFormat="1" applyFont="1" applyBorder="1" applyProtection="1">
      <protection locked="0"/>
    </xf>
    <xf numFmtId="164" fontId="4" fillId="0" borderId="0" xfId="0" applyNumberFormat="1" applyFont="1" applyBorder="1" applyProtection="1">
      <protection locked="0"/>
    </xf>
    <xf numFmtId="3" fontId="4" fillId="0" borderId="0" xfId="0" applyNumberFormat="1" applyFont="1" applyBorder="1" applyProtection="1">
      <protection locked="0"/>
    </xf>
    <xf numFmtId="0" fontId="36" fillId="7" borderId="4" xfId="0" applyFont="1" applyFill="1" applyBorder="1" applyAlignment="1">
      <alignment horizontal="center"/>
    </xf>
    <xf numFmtId="0" fontId="4" fillId="8" borderId="4" xfId="0" applyFont="1" applyFill="1" applyBorder="1" applyAlignment="1">
      <alignment horizontal="left" vertical="center"/>
    </xf>
    <xf numFmtId="0" fontId="36" fillId="7" borderId="4" xfId="0" applyFont="1" applyFill="1" applyBorder="1" applyAlignment="1">
      <alignment horizontal="left" vertical="top"/>
    </xf>
    <xf numFmtId="0" fontId="4" fillId="0" borderId="4" xfId="0" applyFont="1" applyFill="1" applyBorder="1" applyAlignment="1" applyProtection="1">
      <alignment horizontal="left" vertical="center"/>
    </xf>
    <xf numFmtId="0" fontId="35" fillId="0" borderId="4" xfId="0" applyFont="1" applyFill="1" applyBorder="1" applyAlignment="1">
      <alignment horizontal="center"/>
    </xf>
  </cellXfs>
  <cellStyles count="4">
    <cellStyle name="Hyperlink" xfId="1" builtinId="8"/>
    <cellStyle name="Normal" xfId="0" builtinId="0"/>
    <cellStyle name="Normal 2" xfId="2" xr:uid="{00000000-0005-0000-0000-000002000000}"/>
    <cellStyle name="Percent" xfId="3" builtinId="5"/>
  </cellStyles>
  <dxfs count="14">
    <dxf>
      <font>
        <b val="0"/>
        <i val="0"/>
      </font>
      <fill>
        <patternFill>
          <bgColor rgb="FFF2F2F2"/>
        </patternFill>
      </fill>
      <border>
        <top style="thin">
          <color rgb="FF999999"/>
        </top>
        <bottom style="thin">
          <color rgb="FF999999"/>
        </bottom>
        <horizontal style="thin">
          <color rgb="FF999999"/>
        </horizontal>
      </border>
    </dxf>
    <dxf>
      <font>
        <b val="0"/>
        <i val="0"/>
      </font>
      <fill>
        <patternFill patternType="none">
          <bgColor auto="1"/>
        </patternFill>
      </fill>
      <border>
        <top/>
        <bottom style="thin">
          <color rgb="FF999999"/>
        </bottom>
        <horizontal style="thin">
          <color rgb="FF999999"/>
        </horizontal>
      </border>
    </dxf>
    <dxf>
      <font>
        <b/>
        <i val="0"/>
        <color theme="3"/>
      </font>
      <fill>
        <patternFill>
          <bgColor theme="0" tint="-4.9989318521683403E-2"/>
        </patternFill>
      </fill>
    </dxf>
    <dxf>
      <font>
        <b/>
        <i val="0"/>
        <color theme="3"/>
      </font>
      <fill>
        <patternFill>
          <bgColor theme="0" tint="-4.9989318521683403E-2"/>
        </patternFill>
      </fill>
    </dxf>
    <dxf>
      <font>
        <b/>
        <i val="0"/>
        <color theme="3"/>
      </font>
      <fill>
        <patternFill>
          <bgColor theme="0" tint="-4.9989318521683403E-2"/>
        </patternFill>
      </fill>
      <border>
        <top style="thin">
          <color rgb="FF4D4D4D"/>
        </top>
      </border>
    </dxf>
    <dxf>
      <font>
        <b/>
        <i val="0"/>
        <color theme="3"/>
      </font>
      <fill>
        <patternFill patternType="solid">
          <bgColor rgb="FFF2F2F2"/>
        </patternFill>
      </fill>
      <border>
        <bottom/>
      </border>
    </dxf>
    <dxf>
      <font>
        <color theme="3"/>
      </font>
    </dxf>
    <dxf>
      <border>
        <top style="thin">
          <color rgb="FF999999"/>
        </top>
        <bottom style="thin">
          <color rgb="FF999999"/>
        </bottom>
        <horizontal style="thin">
          <color rgb="FF999999"/>
        </horizontal>
      </border>
    </dxf>
    <dxf>
      <border>
        <top/>
        <bottom style="thin">
          <color rgb="FF999999"/>
        </bottom>
        <horizontal style="thin">
          <color rgb="FF999999"/>
        </horizontal>
      </border>
    </dxf>
    <dxf>
      <font>
        <b/>
        <i val="0"/>
        <color theme="3"/>
      </font>
      <fill>
        <patternFill patternType="none">
          <bgColor auto="1"/>
        </patternFill>
      </fill>
    </dxf>
    <dxf>
      <font>
        <b/>
        <i val="0"/>
        <color theme="3"/>
      </font>
      <fill>
        <patternFill patternType="none">
          <bgColor auto="1"/>
        </patternFill>
      </fill>
    </dxf>
    <dxf>
      <font>
        <b/>
        <i val="0"/>
        <color theme="3"/>
      </font>
      <border>
        <top style="thin">
          <color rgb="FF4D4D4D"/>
        </top>
      </border>
    </dxf>
    <dxf>
      <font>
        <b/>
        <i val="0"/>
        <color theme="3"/>
      </font>
      <fill>
        <patternFill>
          <bgColor theme="0" tint="-4.9989318521683403E-2"/>
        </patternFill>
      </fill>
    </dxf>
    <dxf>
      <font>
        <color theme="3"/>
      </font>
    </dxf>
  </dxfs>
  <tableStyles count="2" defaultTableStyle="WFAM Standard Table" defaultPivotStyle="PivotStyleLight16">
    <tableStyle name="WFAM Standard Table" pivot="0" count="7" xr9:uid="{00000000-0011-0000-FFFF-FFFF00000000}">
      <tableStyleElement type="wholeTable" dxfId="13"/>
      <tableStyleElement type="headerRow" dxfId="12"/>
      <tableStyleElement type="totalRow" dxfId="11"/>
      <tableStyleElement type="firstColumn" dxfId="10"/>
      <tableStyleElement type="lastColumn" dxfId="9"/>
      <tableStyleElement type="firstRowStripe" dxfId="8"/>
      <tableStyleElement type="secondRowStripe" dxfId="7"/>
    </tableStyle>
    <tableStyle name="WFAM Standard Table Shaded Rows" pivot="0" count="7" xr9:uid="{00000000-0011-0000-FFFF-FFFF01000000}">
      <tableStyleElement type="wholeTable" dxfId="6"/>
      <tableStyleElement type="headerRow" dxfId="5"/>
      <tableStyleElement type="totalRow" dxfId="4"/>
      <tableStyleElement type="firstColumn" dxfId="3"/>
      <tableStyleElement type="lastColumn" dxfId="2"/>
      <tableStyleElement type="firstRowStripe" dxfId="1"/>
      <tableStyleElement type="secondRowStripe" dxfId="0"/>
    </tableStyle>
  </tableStyles>
  <colors>
    <mruColors>
      <color rgb="FF946E3A"/>
      <color rgb="FF999999"/>
      <color rgb="FF4D4BA2"/>
      <color rgb="FFA95896"/>
      <color rgb="FF1D6A95"/>
      <color rgb="FF5A5991"/>
      <color rgb="FF393884"/>
      <color rgb="FF302E75"/>
      <color rgb="FFF2F2F2"/>
      <color rgb="FF4D4D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 Id="rId4" Type="http://schemas.openxmlformats.org/officeDocument/2006/relationships/hyperlink" Target="#'Restrictions Input'!A1"/></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3</xdr:col>
      <xdr:colOff>1743075</xdr:colOff>
      <xdr:row>1</xdr:row>
      <xdr:rowOff>5715</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0" y="0"/>
          <a:ext cx="8886825" cy="729615"/>
          <a:chOff x="9524" y="0"/>
          <a:chExt cx="9511000" cy="731742"/>
        </a:xfrm>
      </xdr:grpSpPr>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74973" y="0"/>
            <a:ext cx="1646135" cy="559916"/>
          </a:xfrm>
          <a:prstGeom prst="rect">
            <a:avLst/>
          </a:prstGeom>
        </xdr:spPr>
      </xdr:pic>
      <xdr:pic>
        <xdr:nvPicPr>
          <xdr:cNvPr id="4" name="Picture 3">
            <a:extLst>
              <a:ext uri="{FF2B5EF4-FFF2-40B4-BE49-F238E27FC236}">
                <a16:creationId xmlns:a16="http://schemas.microsoft.com/office/drawing/2014/main" id="{00000000-0008-0000-0000-00000400000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4" y="640302"/>
            <a:ext cx="9511000" cy="91440"/>
          </a:xfrm>
          <a:prstGeom prst="rect">
            <a:avLst/>
          </a:prstGeom>
        </xdr:spPr>
      </xdr:pic>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90500" y="0"/>
            <a:ext cx="1646063" cy="548688"/>
          </a:xfrm>
          <a:prstGeom prst="rect">
            <a:avLst/>
          </a:prstGeom>
        </xdr:spPr>
      </xdr:pic>
    </xdr:grpSp>
    <xdr:clientData/>
  </xdr:twoCellAnchor>
  <xdr:twoCellAnchor>
    <xdr:from>
      <xdr:col>4</xdr:col>
      <xdr:colOff>9525</xdr:colOff>
      <xdr:row>1</xdr:row>
      <xdr:rowOff>9525</xdr:rowOff>
    </xdr:from>
    <xdr:to>
      <xdr:col>6</xdr:col>
      <xdr:colOff>409575</xdr:colOff>
      <xdr:row>7</xdr:row>
      <xdr:rowOff>59495</xdr:rowOff>
    </xdr:to>
    <xdr:grpSp>
      <xdr:nvGrpSpPr>
        <xdr:cNvPr id="14" name="Group 13">
          <a:extLst>
            <a:ext uri="{FF2B5EF4-FFF2-40B4-BE49-F238E27FC236}">
              <a16:creationId xmlns:a16="http://schemas.microsoft.com/office/drawing/2014/main" id="{00000000-0008-0000-0000-00000E000000}"/>
            </a:ext>
          </a:extLst>
        </xdr:cNvPr>
        <xdr:cNvGrpSpPr/>
      </xdr:nvGrpSpPr>
      <xdr:grpSpPr>
        <a:xfrm>
          <a:off x="8972550" y="733425"/>
          <a:ext cx="1828800" cy="1278695"/>
          <a:chOff x="10410825" y="3561177"/>
          <a:chExt cx="1828800" cy="1278695"/>
        </a:xfrm>
      </xdr:grpSpPr>
      <xdr:sp macro="[0]!ThisWorkbook.ReqFieldCheck" textlink="">
        <xdr:nvSpPr>
          <xdr:cNvPr id="15" name="Round Diagonal Corner Rectangle 14">
            <a:extLst>
              <a:ext uri="{FF2B5EF4-FFF2-40B4-BE49-F238E27FC236}">
                <a16:creationId xmlns:a16="http://schemas.microsoft.com/office/drawing/2014/main" id="{00000000-0008-0000-0000-00000F000000}"/>
              </a:ext>
            </a:extLst>
          </xdr:cNvPr>
          <xdr:cNvSpPr>
            <a:spLocks/>
          </xdr:cNvSpPr>
        </xdr:nvSpPr>
        <xdr:spPr>
          <a:xfrm>
            <a:off x="10410825" y="3561177"/>
            <a:ext cx="1828800" cy="1278695"/>
          </a:xfrm>
          <a:prstGeom prst="round2DiagRect">
            <a:avLst/>
          </a:prstGeom>
          <a:gradFill>
            <a:gsLst>
              <a:gs pos="0">
                <a:srgbClr val="F5F5F5"/>
              </a:gs>
              <a:gs pos="50000">
                <a:srgbClr val="EFEFEF"/>
              </a:gs>
              <a:gs pos="100000">
                <a:srgbClr val="E8E8E8"/>
              </a:gs>
            </a:gsLst>
            <a:lin ang="5400000" scaled="1"/>
          </a:gradFill>
          <a:ln w="12700" cap="flat" cmpd="sng" algn="ctr">
            <a:noFill/>
            <a:prstDash val="solid"/>
            <a:miter lim="800000"/>
          </a:ln>
          <a:effectLst>
            <a:outerShdw blurRad="50800" dist="38100" dir="2700000" algn="tl" rotWithShape="0">
              <a:prstClr val="black">
                <a:alpha val="40000"/>
              </a:prstClr>
            </a:outerShdw>
          </a:effectLst>
        </xdr:spPr>
        <xdr:txBody>
          <a:bodyPr wrap="square" lIns="0" tIns="0" rIns="0" bIns="0" rtlCol="0" anchor="ctr"/>
          <a:lstStyle>
            <a:defPPr>
              <a:defRPr lang="en-US"/>
            </a:defPPr>
            <a:lvl1pPr marL="0" algn="l" defTabSz="586130" rtl="0" eaLnBrk="1" latinLnBrk="0" hangingPunct="1">
              <a:defRPr sz="2308" kern="1200">
                <a:solidFill>
                  <a:schemeClr val="tx1"/>
                </a:solidFill>
                <a:latin typeface="+mn-lt"/>
                <a:ea typeface="+mn-ea"/>
                <a:cs typeface="+mn-cs"/>
              </a:defRPr>
            </a:lvl1pPr>
            <a:lvl2pPr marL="586130" algn="l" defTabSz="586130" rtl="0" eaLnBrk="1" latinLnBrk="0" hangingPunct="1">
              <a:defRPr sz="2308" kern="1200">
                <a:solidFill>
                  <a:schemeClr val="tx1"/>
                </a:solidFill>
                <a:latin typeface="+mn-lt"/>
                <a:ea typeface="+mn-ea"/>
                <a:cs typeface="+mn-cs"/>
              </a:defRPr>
            </a:lvl2pPr>
            <a:lvl3pPr marL="1172261" algn="l" defTabSz="586130" rtl="0" eaLnBrk="1" latinLnBrk="0" hangingPunct="1">
              <a:defRPr sz="2308" kern="1200">
                <a:solidFill>
                  <a:schemeClr val="tx1"/>
                </a:solidFill>
                <a:latin typeface="+mn-lt"/>
                <a:ea typeface="+mn-ea"/>
                <a:cs typeface="+mn-cs"/>
              </a:defRPr>
            </a:lvl3pPr>
            <a:lvl4pPr marL="1758391" algn="l" defTabSz="586130" rtl="0" eaLnBrk="1" latinLnBrk="0" hangingPunct="1">
              <a:defRPr sz="2308" kern="1200">
                <a:solidFill>
                  <a:schemeClr val="tx1"/>
                </a:solidFill>
                <a:latin typeface="+mn-lt"/>
                <a:ea typeface="+mn-ea"/>
                <a:cs typeface="+mn-cs"/>
              </a:defRPr>
            </a:lvl4pPr>
            <a:lvl5pPr marL="2344522" algn="l" defTabSz="586130" rtl="0" eaLnBrk="1" latinLnBrk="0" hangingPunct="1">
              <a:defRPr sz="2308" kern="1200">
                <a:solidFill>
                  <a:schemeClr val="tx1"/>
                </a:solidFill>
                <a:latin typeface="+mn-lt"/>
                <a:ea typeface="+mn-ea"/>
                <a:cs typeface="+mn-cs"/>
              </a:defRPr>
            </a:lvl5pPr>
            <a:lvl6pPr marL="2930652" algn="l" defTabSz="586130" rtl="0" eaLnBrk="1" latinLnBrk="0" hangingPunct="1">
              <a:defRPr sz="2308" kern="1200">
                <a:solidFill>
                  <a:schemeClr val="tx1"/>
                </a:solidFill>
                <a:latin typeface="+mn-lt"/>
                <a:ea typeface="+mn-ea"/>
                <a:cs typeface="+mn-cs"/>
              </a:defRPr>
            </a:lvl6pPr>
            <a:lvl7pPr marL="3516782" algn="l" defTabSz="586130" rtl="0" eaLnBrk="1" latinLnBrk="0" hangingPunct="1">
              <a:defRPr sz="2308" kern="1200">
                <a:solidFill>
                  <a:schemeClr val="tx1"/>
                </a:solidFill>
                <a:latin typeface="+mn-lt"/>
                <a:ea typeface="+mn-ea"/>
                <a:cs typeface="+mn-cs"/>
              </a:defRPr>
            </a:lvl7pPr>
            <a:lvl8pPr marL="4102913" algn="l" defTabSz="586130" rtl="0" eaLnBrk="1" latinLnBrk="0" hangingPunct="1">
              <a:defRPr sz="2308" kern="1200">
                <a:solidFill>
                  <a:schemeClr val="tx1"/>
                </a:solidFill>
                <a:latin typeface="+mn-lt"/>
                <a:ea typeface="+mn-ea"/>
                <a:cs typeface="+mn-cs"/>
              </a:defRPr>
            </a:lvl8pPr>
            <a:lvl9pPr marL="4689043" algn="l" defTabSz="586130" rtl="0" eaLnBrk="1" latinLnBrk="0" hangingPunct="1">
              <a:defRPr sz="2308" kern="1200">
                <a:solidFill>
                  <a:schemeClr val="tx1"/>
                </a:solidFill>
                <a:latin typeface="+mn-lt"/>
                <a:ea typeface="+mn-ea"/>
                <a:cs typeface="+mn-cs"/>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0" i="0" u="none" strike="noStrike" kern="0" cap="none" spc="0" normalizeH="0" baseline="0">
                <a:ln>
                  <a:noFill/>
                </a:ln>
                <a:solidFill>
                  <a:schemeClr val="tx2"/>
                </a:solidFill>
                <a:effectLst/>
                <a:uLnTx/>
                <a:uFillTx/>
                <a:latin typeface="Wells Fargo Sans"/>
                <a:ea typeface="+mn-ea"/>
                <a:cs typeface="+mn-cs"/>
              </a:rPr>
              <a:t>Click to go to Step 5</a:t>
            </a:r>
            <a:br>
              <a:rPr kumimoji="0" lang="en-US" sz="1400" b="0" i="0" u="none" strike="noStrike" kern="0" cap="none" spc="0" normalizeH="0" baseline="0">
                <a:ln>
                  <a:noFill/>
                </a:ln>
                <a:solidFill>
                  <a:schemeClr val="tx2"/>
                </a:solidFill>
                <a:effectLst/>
                <a:uLnTx/>
                <a:uFillTx/>
                <a:latin typeface="Wells Fargo Sans"/>
                <a:ea typeface="+mn-ea"/>
                <a:cs typeface="+mn-cs"/>
              </a:rPr>
            </a:br>
            <a:endParaRPr kumimoji="0" lang="en-US" sz="1400" b="0" i="0" u="none" strike="noStrike" kern="0" cap="none" spc="0" normalizeH="0" baseline="0">
              <a:ln>
                <a:noFill/>
              </a:ln>
              <a:solidFill>
                <a:schemeClr val="tx2"/>
              </a:solidFill>
              <a:effectLst/>
              <a:uLnTx/>
              <a:uFillTx/>
              <a:latin typeface="Wells Fargo Sans"/>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a:ln>
                <a:noFill/>
              </a:ln>
              <a:solidFill>
                <a:schemeClr val="tx2"/>
              </a:solidFill>
              <a:effectLst/>
              <a:uLnTx/>
              <a:uFillTx/>
              <a:latin typeface="Wells Fargo Sans"/>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tab pos="57150" algn="l"/>
              </a:tabLst>
              <a:defRPr/>
            </a:pPr>
            <a:r>
              <a:rPr kumimoji="0" lang="en-US" sz="1400" b="0" i="0" u="none" strike="noStrike" kern="0" cap="none" spc="0" normalizeH="0" baseline="0">
                <a:ln>
                  <a:noFill/>
                </a:ln>
                <a:solidFill>
                  <a:schemeClr val="tx2"/>
                </a:solidFill>
                <a:effectLst/>
                <a:uLnTx/>
                <a:uFillTx/>
                <a:latin typeface="Wells Fargo Sans Light" panose="020B0403020203020204" pitchFamily="34" charset="0"/>
                <a:ea typeface="+mn-ea"/>
                <a:cs typeface="+mn-cs"/>
              </a:rPr>
              <a:t>	to enter</a:t>
            </a:r>
          </a:p>
          <a:p>
            <a:pPr marL="0" marR="0" lvl="0" indent="0" defTabSz="914400" eaLnBrk="1" fontAlgn="auto" latinLnBrk="0" hangingPunct="1">
              <a:lnSpc>
                <a:spcPct val="100000"/>
              </a:lnSpc>
              <a:spcBef>
                <a:spcPts val="0"/>
              </a:spcBef>
              <a:spcAft>
                <a:spcPts val="0"/>
              </a:spcAft>
              <a:buClrTx/>
              <a:buSzTx/>
              <a:buFontTx/>
              <a:buNone/>
              <a:tabLst>
                <a:tab pos="57150" algn="l"/>
              </a:tabLst>
              <a:defRPr/>
            </a:pPr>
            <a:r>
              <a:rPr kumimoji="0" lang="en-US" sz="1600" b="0" i="0" u="none" strike="noStrike" kern="0" cap="none" spc="20" normalizeH="0">
                <a:ln>
                  <a:noFill/>
                </a:ln>
                <a:solidFill>
                  <a:schemeClr val="accent4"/>
                </a:solidFill>
                <a:effectLst>
                  <a:outerShdw blurRad="38100" dist="25400" dir="2700000" algn="tl">
                    <a:srgbClr val="4D4D4D">
                      <a:alpha val="43000"/>
                    </a:srgbClr>
                  </a:outerShdw>
                </a:effectLst>
                <a:uLnTx/>
                <a:uFillTx/>
                <a:latin typeface="Wells Fargo Sans SemiBold"/>
                <a:ea typeface="+mn-ea"/>
                <a:cs typeface="+mn-cs"/>
              </a:rPr>
              <a:t>Cash &amp; Tax Lots</a:t>
            </a:r>
          </a:p>
        </xdr:txBody>
      </xdr:sp>
      <xdr:sp macro="" textlink="">
        <xdr:nvSpPr>
          <xdr:cNvPr id="16" name="Freeform 15">
            <a:extLst>
              <a:ext uri="{FF2B5EF4-FFF2-40B4-BE49-F238E27FC236}">
                <a16:creationId xmlns:a16="http://schemas.microsoft.com/office/drawing/2014/main" id="{00000000-0008-0000-0000-000010000000}"/>
              </a:ext>
            </a:extLst>
          </xdr:cNvPr>
          <xdr:cNvSpPr>
            <a:spLocks noChangeAspect="1" noEditPoints="1"/>
          </xdr:cNvSpPr>
        </xdr:nvSpPr>
        <xdr:spPr bwMode="auto">
          <a:xfrm>
            <a:off x="11012805" y="3910012"/>
            <a:ext cx="1093788" cy="523875"/>
          </a:xfrm>
          <a:custGeom>
            <a:avLst/>
            <a:gdLst>
              <a:gd name="T0" fmla="*/ 201 w 673"/>
              <a:gd name="T1" fmla="*/ 112 h 320"/>
              <a:gd name="T2" fmla="*/ 210 w 673"/>
              <a:gd name="T3" fmla="*/ 121 h 320"/>
              <a:gd name="T4" fmla="*/ 201 w 673"/>
              <a:gd name="T5" fmla="*/ 130 h 320"/>
              <a:gd name="T6" fmla="*/ 192 w 673"/>
              <a:gd name="T7" fmla="*/ 121 h 320"/>
              <a:gd name="T8" fmla="*/ 153 w 673"/>
              <a:gd name="T9" fmla="*/ 112 h 320"/>
              <a:gd name="T10" fmla="*/ 162 w 673"/>
              <a:gd name="T11" fmla="*/ 121 h 320"/>
              <a:gd name="T12" fmla="*/ 153 w 673"/>
              <a:gd name="T13" fmla="*/ 130 h 320"/>
              <a:gd name="T14" fmla="*/ 144 w 673"/>
              <a:gd name="T15" fmla="*/ 121 h 320"/>
              <a:gd name="T16" fmla="*/ 105 w 673"/>
              <a:gd name="T17" fmla="*/ 112 h 320"/>
              <a:gd name="T18" fmla="*/ 114 w 673"/>
              <a:gd name="T19" fmla="*/ 121 h 320"/>
              <a:gd name="T20" fmla="*/ 105 w 673"/>
              <a:gd name="T21" fmla="*/ 130 h 320"/>
              <a:gd name="T22" fmla="*/ 96 w 673"/>
              <a:gd name="T23" fmla="*/ 121 h 320"/>
              <a:gd name="T24" fmla="*/ 57 w 673"/>
              <a:gd name="T25" fmla="*/ 112 h 320"/>
              <a:gd name="T26" fmla="*/ 66 w 673"/>
              <a:gd name="T27" fmla="*/ 121 h 320"/>
              <a:gd name="T28" fmla="*/ 57 w 673"/>
              <a:gd name="T29" fmla="*/ 130 h 320"/>
              <a:gd name="T30" fmla="*/ 48 w 673"/>
              <a:gd name="T31" fmla="*/ 121 h 320"/>
              <a:gd name="T32" fmla="*/ 9 w 673"/>
              <a:gd name="T33" fmla="*/ 112 h 320"/>
              <a:gd name="T34" fmla="*/ 18 w 673"/>
              <a:gd name="T35" fmla="*/ 121 h 320"/>
              <a:gd name="T36" fmla="*/ 9 w 673"/>
              <a:gd name="T37" fmla="*/ 130 h 320"/>
              <a:gd name="T38" fmla="*/ 0 w 673"/>
              <a:gd name="T39" fmla="*/ 121 h 320"/>
              <a:gd name="T40" fmla="*/ 296 w 673"/>
              <a:gd name="T41" fmla="*/ 191 h 320"/>
              <a:gd name="T42" fmla="*/ 305 w 673"/>
              <a:gd name="T43" fmla="*/ 200 h 320"/>
              <a:gd name="T44" fmla="*/ 296 w 673"/>
              <a:gd name="T45" fmla="*/ 209 h 320"/>
              <a:gd name="T46" fmla="*/ 287 w 673"/>
              <a:gd name="T47" fmla="*/ 200 h 320"/>
              <a:gd name="T48" fmla="*/ 248 w 673"/>
              <a:gd name="T49" fmla="*/ 191 h 320"/>
              <a:gd name="T50" fmla="*/ 257 w 673"/>
              <a:gd name="T51" fmla="*/ 200 h 320"/>
              <a:gd name="T52" fmla="*/ 248 w 673"/>
              <a:gd name="T53" fmla="*/ 209 h 320"/>
              <a:gd name="T54" fmla="*/ 239 w 673"/>
              <a:gd name="T55" fmla="*/ 200 h 320"/>
              <a:gd name="T56" fmla="*/ 200 w 673"/>
              <a:gd name="T57" fmla="*/ 191 h 320"/>
              <a:gd name="T58" fmla="*/ 209 w 673"/>
              <a:gd name="T59" fmla="*/ 200 h 320"/>
              <a:gd name="T60" fmla="*/ 200 w 673"/>
              <a:gd name="T61" fmla="*/ 209 h 320"/>
              <a:gd name="T62" fmla="*/ 191 w 673"/>
              <a:gd name="T63" fmla="*/ 200 h 320"/>
              <a:gd name="T64" fmla="*/ 152 w 673"/>
              <a:gd name="T65" fmla="*/ 191 h 320"/>
              <a:gd name="T66" fmla="*/ 161 w 673"/>
              <a:gd name="T67" fmla="*/ 200 h 320"/>
              <a:gd name="T68" fmla="*/ 152 w 673"/>
              <a:gd name="T69" fmla="*/ 209 h 320"/>
              <a:gd name="T70" fmla="*/ 143 w 673"/>
              <a:gd name="T71" fmla="*/ 200 h 320"/>
              <a:gd name="T72" fmla="*/ 104 w 673"/>
              <a:gd name="T73" fmla="*/ 191 h 320"/>
              <a:gd name="T74" fmla="*/ 113 w 673"/>
              <a:gd name="T75" fmla="*/ 200 h 320"/>
              <a:gd name="T76" fmla="*/ 104 w 673"/>
              <a:gd name="T77" fmla="*/ 209 h 320"/>
              <a:gd name="T78" fmla="*/ 95 w 673"/>
              <a:gd name="T79" fmla="*/ 200 h 320"/>
              <a:gd name="T80" fmla="*/ 670 w 673"/>
              <a:gd name="T81" fmla="*/ 166 h 320"/>
              <a:gd name="T82" fmla="*/ 670 w 673"/>
              <a:gd name="T83" fmla="*/ 154 h 320"/>
              <a:gd name="T84" fmla="*/ 510 w 673"/>
              <a:gd name="T85" fmla="*/ 1 h 320"/>
              <a:gd name="T86" fmla="*/ 505 w 673"/>
              <a:gd name="T87" fmla="*/ 112 h 320"/>
              <a:gd name="T88" fmla="*/ 225 w 673"/>
              <a:gd name="T89" fmla="*/ 121 h 320"/>
              <a:gd name="T90" fmla="*/ 514 w 673"/>
              <a:gd name="T91" fmla="*/ 130 h 320"/>
              <a:gd name="T92" fmla="*/ 523 w 673"/>
              <a:gd name="T93" fmla="*/ 121 h 320"/>
              <a:gd name="T94" fmla="*/ 651 w 673"/>
              <a:gd name="T95" fmla="*/ 160 h 320"/>
              <a:gd name="T96" fmla="*/ 523 w 673"/>
              <a:gd name="T97" fmla="*/ 200 h 320"/>
              <a:gd name="T98" fmla="*/ 514 w 673"/>
              <a:gd name="T99" fmla="*/ 191 h 320"/>
              <a:gd name="T100" fmla="*/ 319 w 673"/>
              <a:gd name="T101" fmla="*/ 200 h 320"/>
              <a:gd name="T102" fmla="*/ 505 w 673"/>
              <a:gd name="T103" fmla="*/ 209 h 320"/>
              <a:gd name="T104" fmla="*/ 510 w 673"/>
              <a:gd name="T105" fmla="*/ 319 h 320"/>
              <a:gd name="T106" fmla="*/ 519 w 673"/>
              <a:gd name="T107" fmla="*/ 317 h 32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673" h="320">
                <a:moveTo>
                  <a:pt x="192" y="121"/>
                </a:moveTo>
                <a:cubicBezTo>
                  <a:pt x="192" y="116"/>
                  <a:pt x="196" y="112"/>
                  <a:pt x="201" y="112"/>
                </a:cubicBezTo>
                <a:cubicBezTo>
                  <a:pt x="201" y="112"/>
                  <a:pt x="201" y="112"/>
                  <a:pt x="201" y="112"/>
                </a:cubicBezTo>
                <a:cubicBezTo>
                  <a:pt x="206" y="112"/>
                  <a:pt x="210" y="116"/>
                  <a:pt x="210" y="121"/>
                </a:cubicBezTo>
                <a:cubicBezTo>
                  <a:pt x="210" y="121"/>
                  <a:pt x="210" y="121"/>
                  <a:pt x="210" y="121"/>
                </a:cubicBezTo>
                <a:cubicBezTo>
                  <a:pt x="210" y="126"/>
                  <a:pt x="206" y="130"/>
                  <a:pt x="201" y="130"/>
                </a:cubicBezTo>
                <a:cubicBezTo>
                  <a:pt x="201" y="130"/>
                  <a:pt x="201" y="130"/>
                  <a:pt x="201" y="130"/>
                </a:cubicBezTo>
                <a:cubicBezTo>
                  <a:pt x="196" y="130"/>
                  <a:pt x="192" y="126"/>
                  <a:pt x="192" y="121"/>
                </a:cubicBezTo>
                <a:close/>
                <a:moveTo>
                  <a:pt x="144" y="121"/>
                </a:moveTo>
                <a:cubicBezTo>
                  <a:pt x="144" y="116"/>
                  <a:pt x="148" y="112"/>
                  <a:pt x="153" y="112"/>
                </a:cubicBezTo>
                <a:cubicBezTo>
                  <a:pt x="153" y="112"/>
                  <a:pt x="153" y="112"/>
                  <a:pt x="153" y="112"/>
                </a:cubicBezTo>
                <a:cubicBezTo>
                  <a:pt x="158" y="112"/>
                  <a:pt x="162" y="116"/>
                  <a:pt x="162" y="121"/>
                </a:cubicBezTo>
                <a:cubicBezTo>
                  <a:pt x="162" y="121"/>
                  <a:pt x="162" y="121"/>
                  <a:pt x="162" y="121"/>
                </a:cubicBezTo>
                <a:cubicBezTo>
                  <a:pt x="162" y="126"/>
                  <a:pt x="158" y="130"/>
                  <a:pt x="153" y="130"/>
                </a:cubicBezTo>
                <a:cubicBezTo>
                  <a:pt x="153" y="130"/>
                  <a:pt x="153" y="130"/>
                  <a:pt x="153" y="130"/>
                </a:cubicBezTo>
                <a:cubicBezTo>
                  <a:pt x="148" y="130"/>
                  <a:pt x="144" y="126"/>
                  <a:pt x="144" y="121"/>
                </a:cubicBezTo>
                <a:close/>
                <a:moveTo>
                  <a:pt x="96" y="121"/>
                </a:moveTo>
                <a:cubicBezTo>
                  <a:pt x="96" y="116"/>
                  <a:pt x="100" y="112"/>
                  <a:pt x="105" y="112"/>
                </a:cubicBezTo>
                <a:cubicBezTo>
                  <a:pt x="105" y="112"/>
                  <a:pt x="105" y="112"/>
                  <a:pt x="105" y="112"/>
                </a:cubicBezTo>
                <a:cubicBezTo>
                  <a:pt x="110" y="112"/>
                  <a:pt x="114" y="116"/>
                  <a:pt x="114" y="121"/>
                </a:cubicBezTo>
                <a:cubicBezTo>
                  <a:pt x="114" y="121"/>
                  <a:pt x="114" y="121"/>
                  <a:pt x="114" y="121"/>
                </a:cubicBezTo>
                <a:cubicBezTo>
                  <a:pt x="114" y="126"/>
                  <a:pt x="110" y="130"/>
                  <a:pt x="105" y="130"/>
                </a:cubicBezTo>
                <a:cubicBezTo>
                  <a:pt x="105" y="130"/>
                  <a:pt x="105" y="130"/>
                  <a:pt x="105" y="130"/>
                </a:cubicBezTo>
                <a:cubicBezTo>
                  <a:pt x="100" y="130"/>
                  <a:pt x="96" y="126"/>
                  <a:pt x="96" y="121"/>
                </a:cubicBezTo>
                <a:close/>
                <a:moveTo>
                  <a:pt x="48" y="121"/>
                </a:moveTo>
                <a:cubicBezTo>
                  <a:pt x="48" y="116"/>
                  <a:pt x="52" y="112"/>
                  <a:pt x="57" y="112"/>
                </a:cubicBezTo>
                <a:cubicBezTo>
                  <a:pt x="57" y="112"/>
                  <a:pt x="57" y="112"/>
                  <a:pt x="57" y="112"/>
                </a:cubicBezTo>
                <a:cubicBezTo>
                  <a:pt x="62" y="112"/>
                  <a:pt x="66" y="116"/>
                  <a:pt x="66" y="121"/>
                </a:cubicBezTo>
                <a:cubicBezTo>
                  <a:pt x="66" y="121"/>
                  <a:pt x="66" y="121"/>
                  <a:pt x="66" y="121"/>
                </a:cubicBezTo>
                <a:cubicBezTo>
                  <a:pt x="66" y="126"/>
                  <a:pt x="62" y="130"/>
                  <a:pt x="57" y="130"/>
                </a:cubicBezTo>
                <a:cubicBezTo>
                  <a:pt x="57" y="130"/>
                  <a:pt x="57" y="130"/>
                  <a:pt x="57" y="130"/>
                </a:cubicBezTo>
                <a:cubicBezTo>
                  <a:pt x="52" y="130"/>
                  <a:pt x="48" y="126"/>
                  <a:pt x="48" y="121"/>
                </a:cubicBezTo>
                <a:close/>
                <a:moveTo>
                  <a:pt x="0" y="121"/>
                </a:moveTo>
                <a:cubicBezTo>
                  <a:pt x="0" y="116"/>
                  <a:pt x="4" y="112"/>
                  <a:pt x="9" y="112"/>
                </a:cubicBezTo>
                <a:cubicBezTo>
                  <a:pt x="9" y="112"/>
                  <a:pt x="9" y="112"/>
                  <a:pt x="9" y="112"/>
                </a:cubicBezTo>
                <a:cubicBezTo>
                  <a:pt x="14" y="112"/>
                  <a:pt x="18" y="116"/>
                  <a:pt x="18" y="121"/>
                </a:cubicBezTo>
                <a:cubicBezTo>
                  <a:pt x="18" y="121"/>
                  <a:pt x="18" y="121"/>
                  <a:pt x="18" y="121"/>
                </a:cubicBezTo>
                <a:cubicBezTo>
                  <a:pt x="18" y="126"/>
                  <a:pt x="14" y="130"/>
                  <a:pt x="9" y="130"/>
                </a:cubicBezTo>
                <a:cubicBezTo>
                  <a:pt x="9" y="130"/>
                  <a:pt x="9" y="130"/>
                  <a:pt x="9" y="130"/>
                </a:cubicBezTo>
                <a:cubicBezTo>
                  <a:pt x="4" y="130"/>
                  <a:pt x="0" y="126"/>
                  <a:pt x="0" y="121"/>
                </a:cubicBezTo>
                <a:close/>
                <a:moveTo>
                  <a:pt x="287" y="200"/>
                </a:moveTo>
                <a:cubicBezTo>
                  <a:pt x="287" y="195"/>
                  <a:pt x="291" y="191"/>
                  <a:pt x="296" y="191"/>
                </a:cubicBezTo>
                <a:cubicBezTo>
                  <a:pt x="296" y="191"/>
                  <a:pt x="296" y="191"/>
                  <a:pt x="296" y="191"/>
                </a:cubicBezTo>
                <a:cubicBezTo>
                  <a:pt x="301" y="191"/>
                  <a:pt x="305" y="195"/>
                  <a:pt x="305" y="200"/>
                </a:cubicBezTo>
                <a:cubicBezTo>
                  <a:pt x="305" y="200"/>
                  <a:pt x="305" y="200"/>
                  <a:pt x="305" y="200"/>
                </a:cubicBezTo>
                <a:cubicBezTo>
                  <a:pt x="305" y="205"/>
                  <a:pt x="301" y="209"/>
                  <a:pt x="296" y="209"/>
                </a:cubicBezTo>
                <a:cubicBezTo>
                  <a:pt x="296" y="209"/>
                  <a:pt x="296" y="209"/>
                  <a:pt x="296" y="209"/>
                </a:cubicBezTo>
                <a:cubicBezTo>
                  <a:pt x="291" y="209"/>
                  <a:pt x="287" y="205"/>
                  <a:pt x="287" y="200"/>
                </a:cubicBezTo>
                <a:close/>
                <a:moveTo>
                  <a:pt x="239" y="200"/>
                </a:moveTo>
                <a:cubicBezTo>
                  <a:pt x="239" y="195"/>
                  <a:pt x="243" y="191"/>
                  <a:pt x="248" y="191"/>
                </a:cubicBezTo>
                <a:cubicBezTo>
                  <a:pt x="248" y="191"/>
                  <a:pt x="248" y="191"/>
                  <a:pt x="248" y="191"/>
                </a:cubicBezTo>
                <a:cubicBezTo>
                  <a:pt x="253" y="191"/>
                  <a:pt x="257" y="195"/>
                  <a:pt x="257" y="200"/>
                </a:cubicBezTo>
                <a:cubicBezTo>
                  <a:pt x="257" y="200"/>
                  <a:pt x="257" y="200"/>
                  <a:pt x="257" y="200"/>
                </a:cubicBezTo>
                <a:cubicBezTo>
                  <a:pt x="257" y="205"/>
                  <a:pt x="253" y="209"/>
                  <a:pt x="248" y="209"/>
                </a:cubicBezTo>
                <a:cubicBezTo>
                  <a:pt x="248" y="209"/>
                  <a:pt x="248" y="209"/>
                  <a:pt x="248" y="209"/>
                </a:cubicBezTo>
                <a:cubicBezTo>
                  <a:pt x="243" y="209"/>
                  <a:pt x="239" y="205"/>
                  <a:pt x="239" y="200"/>
                </a:cubicBezTo>
                <a:close/>
                <a:moveTo>
                  <a:pt x="191" y="200"/>
                </a:moveTo>
                <a:cubicBezTo>
                  <a:pt x="191" y="195"/>
                  <a:pt x="195" y="191"/>
                  <a:pt x="200" y="191"/>
                </a:cubicBezTo>
                <a:cubicBezTo>
                  <a:pt x="200" y="191"/>
                  <a:pt x="200" y="191"/>
                  <a:pt x="200" y="191"/>
                </a:cubicBezTo>
                <a:cubicBezTo>
                  <a:pt x="205" y="191"/>
                  <a:pt x="209" y="195"/>
                  <a:pt x="209" y="200"/>
                </a:cubicBezTo>
                <a:cubicBezTo>
                  <a:pt x="209" y="200"/>
                  <a:pt x="209" y="200"/>
                  <a:pt x="209" y="200"/>
                </a:cubicBezTo>
                <a:cubicBezTo>
                  <a:pt x="209" y="205"/>
                  <a:pt x="205" y="209"/>
                  <a:pt x="200" y="209"/>
                </a:cubicBezTo>
                <a:cubicBezTo>
                  <a:pt x="200" y="209"/>
                  <a:pt x="200" y="209"/>
                  <a:pt x="200" y="209"/>
                </a:cubicBezTo>
                <a:cubicBezTo>
                  <a:pt x="195" y="209"/>
                  <a:pt x="191" y="205"/>
                  <a:pt x="191" y="200"/>
                </a:cubicBezTo>
                <a:close/>
                <a:moveTo>
                  <a:pt x="143" y="200"/>
                </a:moveTo>
                <a:cubicBezTo>
                  <a:pt x="143" y="195"/>
                  <a:pt x="147" y="191"/>
                  <a:pt x="152" y="191"/>
                </a:cubicBezTo>
                <a:cubicBezTo>
                  <a:pt x="152" y="191"/>
                  <a:pt x="152" y="191"/>
                  <a:pt x="152" y="191"/>
                </a:cubicBezTo>
                <a:cubicBezTo>
                  <a:pt x="157" y="191"/>
                  <a:pt x="161" y="195"/>
                  <a:pt x="161" y="200"/>
                </a:cubicBezTo>
                <a:cubicBezTo>
                  <a:pt x="161" y="200"/>
                  <a:pt x="161" y="200"/>
                  <a:pt x="161" y="200"/>
                </a:cubicBezTo>
                <a:cubicBezTo>
                  <a:pt x="161" y="205"/>
                  <a:pt x="157" y="209"/>
                  <a:pt x="152" y="209"/>
                </a:cubicBezTo>
                <a:cubicBezTo>
                  <a:pt x="152" y="209"/>
                  <a:pt x="152" y="209"/>
                  <a:pt x="152" y="209"/>
                </a:cubicBezTo>
                <a:cubicBezTo>
                  <a:pt x="147" y="209"/>
                  <a:pt x="143" y="205"/>
                  <a:pt x="143" y="200"/>
                </a:cubicBezTo>
                <a:close/>
                <a:moveTo>
                  <a:pt x="95" y="200"/>
                </a:moveTo>
                <a:cubicBezTo>
                  <a:pt x="95" y="195"/>
                  <a:pt x="99" y="191"/>
                  <a:pt x="104" y="191"/>
                </a:cubicBezTo>
                <a:cubicBezTo>
                  <a:pt x="104" y="191"/>
                  <a:pt x="104" y="191"/>
                  <a:pt x="104" y="191"/>
                </a:cubicBezTo>
                <a:cubicBezTo>
                  <a:pt x="109" y="191"/>
                  <a:pt x="113" y="195"/>
                  <a:pt x="113" y="200"/>
                </a:cubicBezTo>
                <a:cubicBezTo>
                  <a:pt x="113" y="200"/>
                  <a:pt x="113" y="200"/>
                  <a:pt x="113" y="200"/>
                </a:cubicBezTo>
                <a:cubicBezTo>
                  <a:pt x="113" y="205"/>
                  <a:pt x="109" y="209"/>
                  <a:pt x="104" y="209"/>
                </a:cubicBezTo>
                <a:cubicBezTo>
                  <a:pt x="104" y="209"/>
                  <a:pt x="104" y="209"/>
                  <a:pt x="104" y="209"/>
                </a:cubicBezTo>
                <a:cubicBezTo>
                  <a:pt x="99" y="209"/>
                  <a:pt x="95" y="205"/>
                  <a:pt x="95" y="200"/>
                </a:cubicBezTo>
                <a:close/>
                <a:moveTo>
                  <a:pt x="519" y="317"/>
                </a:moveTo>
                <a:cubicBezTo>
                  <a:pt x="670" y="166"/>
                  <a:pt x="670" y="166"/>
                  <a:pt x="670" y="166"/>
                </a:cubicBezTo>
                <a:cubicBezTo>
                  <a:pt x="672" y="165"/>
                  <a:pt x="673" y="162"/>
                  <a:pt x="673" y="160"/>
                </a:cubicBezTo>
                <a:cubicBezTo>
                  <a:pt x="673" y="158"/>
                  <a:pt x="672" y="155"/>
                  <a:pt x="670" y="154"/>
                </a:cubicBezTo>
                <a:cubicBezTo>
                  <a:pt x="519" y="3"/>
                  <a:pt x="519" y="3"/>
                  <a:pt x="519" y="3"/>
                </a:cubicBezTo>
                <a:cubicBezTo>
                  <a:pt x="517" y="0"/>
                  <a:pt x="513" y="0"/>
                  <a:pt x="510" y="1"/>
                </a:cubicBezTo>
                <a:cubicBezTo>
                  <a:pt x="506" y="2"/>
                  <a:pt x="504" y="6"/>
                  <a:pt x="504" y="9"/>
                </a:cubicBezTo>
                <a:cubicBezTo>
                  <a:pt x="505" y="112"/>
                  <a:pt x="505" y="112"/>
                  <a:pt x="505" y="112"/>
                </a:cubicBezTo>
                <a:cubicBezTo>
                  <a:pt x="234" y="112"/>
                  <a:pt x="234" y="112"/>
                  <a:pt x="234" y="112"/>
                </a:cubicBezTo>
                <a:cubicBezTo>
                  <a:pt x="229" y="112"/>
                  <a:pt x="225" y="116"/>
                  <a:pt x="225" y="121"/>
                </a:cubicBezTo>
                <a:cubicBezTo>
                  <a:pt x="225" y="126"/>
                  <a:pt x="229" y="130"/>
                  <a:pt x="234" y="130"/>
                </a:cubicBezTo>
                <a:cubicBezTo>
                  <a:pt x="514" y="130"/>
                  <a:pt x="514" y="130"/>
                  <a:pt x="514" y="130"/>
                </a:cubicBezTo>
                <a:cubicBezTo>
                  <a:pt x="516" y="130"/>
                  <a:pt x="519" y="129"/>
                  <a:pt x="520" y="128"/>
                </a:cubicBezTo>
                <a:cubicBezTo>
                  <a:pt x="522" y="126"/>
                  <a:pt x="523" y="124"/>
                  <a:pt x="523" y="121"/>
                </a:cubicBezTo>
                <a:cubicBezTo>
                  <a:pt x="522" y="31"/>
                  <a:pt x="522" y="31"/>
                  <a:pt x="522" y="31"/>
                </a:cubicBezTo>
                <a:cubicBezTo>
                  <a:pt x="651" y="160"/>
                  <a:pt x="651" y="160"/>
                  <a:pt x="651" y="160"/>
                </a:cubicBezTo>
                <a:cubicBezTo>
                  <a:pt x="522" y="289"/>
                  <a:pt x="522" y="289"/>
                  <a:pt x="522" y="289"/>
                </a:cubicBezTo>
                <a:cubicBezTo>
                  <a:pt x="523" y="200"/>
                  <a:pt x="523" y="200"/>
                  <a:pt x="523" y="200"/>
                </a:cubicBezTo>
                <a:cubicBezTo>
                  <a:pt x="523" y="198"/>
                  <a:pt x="522" y="195"/>
                  <a:pt x="520" y="194"/>
                </a:cubicBezTo>
                <a:cubicBezTo>
                  <a:pt x="518" y="192"/>
                  <a:pt x="516" y="191"/>
                  <a:pt x="514" y="191"/>
                </a:cubicBezTo>
                <a:cubicBezTo>
                  <a:pt x="328" y="191"/>
                  <a:pt x="328" y="191"/>
                  <a:pt x="328" y="191"/>
                </a:cubicBezTo>
                <a:cubicBezTo>
                  <a:pt x="323" y="191"/>
                  <a:pt x="319" y="195"/>
                  <a:pt x="319" y="200"/>
                </a:cubicBezTo>
                <a:cubicBezTo>
                  <a:pt x="319" y="205"/>
                  <a:pt x="323" y="209"/>
                  <a:pt x="328" y="209"/>
                </a:cubicBezTo>
                <a:cubicBezTo>
                  <a:pt x="505" y="209"/>
                  <a:pt x="505" y="209"/>
                  <a:pt x="505" y="209"/>
                </a:cubicBezTo>
                <a:cubicBezTo>
                  <a:pt x="504" y="311"/>
                  <a:pt x="504" y="311"/>
                  <a:pt x="504" y="311"/>
                </a:cubicBezTo>
                <a:cubicBezTo>
                  <a:pt x="504" y="314"/>
                  <a:pt x="506" y="318"/>
                  <a:pt x="510" y="319"/>
                </a:cubicBezTo>
                <a:cubicBezTo>
                  <a:pt x="511" y="319"/>
                  <a:pt x="512" y="320"/>
                  <a:pt x="513" y="320"/>
                </a:cubicBezTo>
                <a:cubicBezTo>
                  <a:pt x="515" y="320"/>
                  <a:pt x="518" y="319"/>
                  <a:pt x="519" y="317"/>
                </a:cubicBezTo>
                <a:close/>
              </a:path>
            </a:pathLst>
          </a:custGeom>
          <a:gradFill>
            <a:gsLst>
              <a:gs pos="0">
                <a:srgbClr val="2995A9"/>
              </a:gs>
              <a:gs pos="94000">
                <a:srgbClr val="1B005C"/>
              </a:gs>
            </a:gsLst>
            <a:path path="circle">
              <a:fillToRect l="100000" t="100000"/>
            </a:path>
          </a:gradFill>
          <a:ln>
            <a:noFill/>
          </a:ln>
        </xdr:spPr>
        <xdr:txBody>
          <a:bodyPr vert="horz" wrap="square" lIns="91440" tIns="45720" rIns="91440" bIns="45720" numCol="1" anchor="t" anchorCtr="0" compatLnSpc="1">
            <a:prstTxWarp prst="textNoShape">
              <a:avLst/>
            </a:prstTxWarp>
          </a:bodyPr>
          <a:lstStyle>
            <a:defPPr>
              <a:defRPr lang="en-US"/>
            </a:defPPr>
            <a:lvl1pPr marL="0" algn="l" defTabSz="586130" rtl="0" eaLnBrk="1" latinLnBrk="0" hangingPunct="1">
              <a:defRPr sz="2308" kern="1200">
                <a:solidFill>
                  <a:schemeClr val="tx1"/>
                </a:solidFill>
                <a:latin typeface="+mn-lt"/>
                <a:ea typeface="+mn-ea"/>
                <a:cs typeface="+mn-cs"/>
              </a:defRPr>
            </a:lvl1pPr>
            <a:lvl2pPr marL="586130" algn="l" defTabSz="586130" rtl="0" eaLnBrk="1" latinLnBrk="0" hangingPunct="1">
              <a:defRPr sz="2308" kern="1200">
                <a:solidFill>
                  <a:schemeClr val="tx1"/>
                </a:solidFill>
                <a:latin typeface="+mn-lt"/>
                <a:ea typeface="+mn-ea"/>
                <a:cs typeface="+mn-cs"/>
              </a:defRPr>
            </a:lvl2pPr>
            <a:lvl3pPr marL="1172261" algn="l" defTabSz="586130" rtl="0" eaLnBrk="1" latinLnBrk="0" hangingPunct="1">
              <a:defRPr sz="2308" kern="1200">
                <a:solidFill>
                  <a:schemeClr val="tx1"/>
                </a:solidFill>
                <a:latin typeface="+mn-lt"/>
                <a:ea typeface="+mn-ea"/>
                <a:cs typeface="+mn-cs"/>
              </a:defRPr>
            </a:lvl3pPr>
            <a:lvl4pPr marL="1758391" algn="l" defTabSz="586130" rtl="0" eaLnBrk="1" latinLnBrk="0" hangingPunct="1">
              <a:defRPr sz="2308" kern="1200">
                <a:solidFill>
                  <a:schemeClr val="tx1"/>
                </a:solidFill>
                <a:latin typeface="+mn-lt"/>
                <a:ea typeface="+mn-ea"/>
                <a:cs typeface="+mn-cs"/>
              </a:defRPr>
            </a:lvl4pPr>
            <a:lvl5pPr marL="2344522" algn="l" defTabSz="586130" rtl="0" eaLnBrk="1" latinLnBrk="0" hangingPunct="1">
              <a:defRPr sz="2308" kern="1200">
                <a:solidFill>
                  <a:schemeClr val="tx1"/>
                </a:solidFill>
                <a:latin typeface="+mn-lt"/>
                <a:ea typeface="+mn-ea"/>
                <a:cs typeface="+mn-cs"/>
              </a:defRPr>
            </a:lvl5pPr>
            <a:lvl6pPr marL="2930652" algn="l" defTabSz="586130" rtl="0" eaLnBrk="1" latinLnBrk="0" hangingPunct="1">
              <a:defRPr sz="2308" kern="1200">
                <a:solidFill>
                  <a:schemeClr val="tx1"/>
                </a:solidFill>
                <a:latin typeface="+mn-lt"/>
                <a:ea typeface="+mn-ea"/>
                <a:cs typeface="+mn-cs"/>
              </a:defRPr>
            </a:lvl6pPr>
            <a:lvl7pPr marL="3516782" algn="l" defTabSz="586130" rtl="0" eaLnBrk="1" latinLnBrk="0" hangingPunct="1">
              <a:defRPr sz="2308" kern="1200">
                <a:solidFill>
                  <a:schemeClr val="tx1"/>
                </a:solidFill>
                <a:latin typeface="+mn-lt"/>
                <a:ea typeface="+mn-ea"/>
                <a:cs typeface="+mn-cs"/>
              </a:defRPr>
            </a:lvl7pPr>
            <a:lvl8pPr marL="4102913" algn="l" defTabSz="586130" rtl="0" eaLnBrk="1" latinLnBrk="0" hangingPunct="1">
              <a:defRPr sz="2308" kern="1200">
                <a:solidFill>
                  <a:schemeClr val="tx1"/>
                </a:solidFill>
                <a:latin typeface="+mn-lt"/>
                <a:ea typeface="+mn-ea"/>
                <a:cs typeface="+mn-cs"/>
              </a:defRPr>
            </a:lvl8pPr>
            <a:lvl9pPr marL="4689043" algn="l" defTabSz="586130" rtl="0" eaLnBrk="1" latinLnBrk="0" hangingPunct="1">
              <a:defRPr sz="2308" kern="1200">
                <a:solidFill>
                  <a:schemeClr val="tx1"/>
                </a:solidFill>
                <a:latin typeface="+mn-lt"/>
                <a:ea typeface="+mn-ea"/>
                <a:cs typeface="+mn-cs"/>
              </a:defRPr>
            </a:lvl9p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4</xdr:col>
      <xdr:colOff>2291715</xdr:colOff>
      <xdr:row>1</xdr:row>
      <xdr:rowOff>5715</xdr:rowOff>
    </xdr:to>
    <xdr:grpSp>
      <xdr:nvGrpSpPr>
        <xdr:cNvPr id="11" name="Group 10">
          <a:extLst>
            <a:ext uri="{FF2B5EF4-FFF2-40B4-BE49-F238E27FC236}">
              <a16:creationId xmlns:a16="http://schemas.microsoft.com/office/drawing/2014/main" id="{00000000-0008-0000-0100-00000B000000}"/>
            </a:ext>
          </a:extLst>
        </xdr:cNvPr>
        <xdr:cNvGrpSpPr/>
      </xdr:nvGrpSpPr>
      <xdr:grpSpPr>
        <a:xfrm>
          <a:off x="0" y="0"/>
          <a:ext cx="9464040" cy="729615"/>
          <a:chOff x="9524" y="0"/>
          <a:chExt cx="9511000" cy="731742"/>
        </a:xfrm>
      </xdr:grpSpPr>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74973" y="0"/>
            <a:ext cx="1646135" cy="559916"/>
          </a:xfrm>
          <a:prstGeom prst="rect">
            <a:avLst/>
          </a:prstGeom>
        </xdr:spPr>
      </xdr:pic>
      <xdr:pic>
        <xdr:nvPicPr>
          <xdr:cNvPr id="13" name="Picture 12">
            <a:extLst>
              <a:ext uri="{FF2B5EF4-FFF2-40B4-BE49-F238E27FC236}">
                <a16:creationId xmlns:a16="http://schemas.microsoft.com/office/drawing/2014/main" id="{00000000-0008-0000-0100-00000D00000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4" y="640302"/>
            <a:ext cx="9511000" cy="91440"/>
          </a:xfrm>
          <a:prstGeom prst="rect">
            <a:avLst/>
          </a:prstGeom>
        </xdr:spPr>
      </xdr:pic>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90500" y="0"/>
            <a:ext cx="1646063" cy="548688"/>
          </a:xfrm>
          <a:prstGeom prst="rect">
            <a:avLst/>
          </a:prstGeom>
        </xdr:spPr>
      </xdr:pic>
    </xdr:grpSp>
    <xdr:clientData/>
  </xdr:twoCellAnchor>
  <xdr:twoCellAnchor>
    <xdr:from>
      <xdr:col>6</xdr:col>
      <xdr:colOff>638908</xdr:colOff>
      <xdr:row>2</xdr:row>
      <xdr:rowOff>157768</xdr:rowOff>
    </xdr:from>
    <xdr:to>
      <xdr:col>8</xdr:col>
      <xdr:colOff>208696</xdr:colOff>
      <xdr:row>5</xdr:row>
      <xdr:rowOff>6613</xdr:rowOff>
    </xdr:to>
    <xdr:sp macro="" textlink="">
      <xdr:nvSpPr>
        <xdr:cNvPr id="16" name="Freeform 15">
          <a:extLst>
            <a:ext uri="{FF2B5EF4-FFF2-40B4-BE49-F238E27FC236}">
              <a16:creationId xmlns:a16="http://schemas.microsoft.com/office/drawing/2014/main" id="{00000000-0008-0000-0100-000010000000}"/>
            </a:ext>
          </a:extLst>
        </xdr:cNvPr>
        <xdr:cNvSpPr>
          <a:spLocks noChangeAspect="1" noEditPoints="1"/>
        </xdr:cNvSpPr>
      </xdr:nvSpPr>
      <xdr:spPr bwMode="auto">
        <a:xfrm>
          <a:off x="10278208" y="1072168"/>
          <a:ext cx="1093788" cy="525120"/>
        </a:xfrm>
        <a:custGeom>
          <a:avLst/>
          <a:gdLst>
            <a:gd name="T0" fmla="*/ 201 w 673"/>
            <a:gd name="T1" fmla="*/ 112 h 320"/>
            <a:gd name="T2" fmla="*/ 210 w 673"/>
            <a:gd name="T3" fmla="*/ 121 h 320"/>
            <a:gd name="T4" fmla="*/ 201 w 673"/>
            <a:gd name="T5" fmla="*/ 130 h 320"/>
            <a:gd name="T6" fmla="*/ 192 w 673"/>
            <a:gd name="T7" fmla="*/ 121 h 320"/>
            <a:gd name="T8" fmla="*/ 153 w 673"/>
            <a:gd name="T9" fmla="*/ 112 h 320"/>
            <a:gd name="T10" fmla="*/ 162 w 673"/>
            <a:gd name="T11" fmla="*/ 121 h 320"/>
            <a:gd name="T12" fmla="*/ 153 w 673"/>
            <a:gd name="T13" fmla="*/ 130 h 320"/>
            <a:gd name="T14" fmla="*/ 144 w 673"/>
            <a:gd name="T15" fmla="*/ 121 h 320"/>
            <a:gd name="T16" fmla="*/ 105 w 673"/>
            <a:gd name="T17" fmla="*/ 112 h 320"/>
            <a:gd name="T18" fmla="*/ 114 w 673"/>
            <a:gd name="T19" fmla="*/ 121 h 320"/>
            <a:gd name="T20" fmla="*/ 105 w 673"/>
            <a:gd name="T21" fmla="*/ 130 h 320"/>
            <a:gd name="T22" fmla="*/ 96 w 673"/>
            <a:gd name="T23" fmla="*/ 121 h 320"/>
            <a:gd name="T24" fmla="*/ 57 w 673"/>
            <a:gd name="T25" fmla="*/ 112 h 320"/>
            <a:gd name="T26" fmla="*/ 66 w 673"/>
            <a:gd name="T27" fmla="*/ 121 h 320"/>
            <a:gd name="T28" fmla="*/ 57 w 673"/>
            <a:gd name="T29" fmla="*/ 130 h 320"/>
            <a:gd name="T30" fmla="*/ 48 w 673"/>
            <a:gd name="T31" fmla="*/ 121 h 320"/>
            <a:gd name="T32" fmla="*/ 9 w 673"/>
            <a:gd name="T33" fmla="*/ 112 h 320"/>
            <a:gd name="T34" fmla="*/ 18 w 673"/>
            <a:gd name="T35" fmla="*/ 121 h 320"/>
            <a:gd name="T36" fmla="*/ 9 w 673"/>
            <a:gd name="T37" fmla="*/ 130 h 320"/>
            <a:gd name="T38" fmla="*/ 0 w 673"/>
            <a:gd name="T39" fmla="*/ 121 h 320"/>
            <a:gd name="T40" fmla="*/ 296 w 673"/>
            <a:gd name="T41" fmla="*/ 191 h 320"/>
            <a:gd name="T42" fmla="*/ 305 w 673"/>
            <a:gd name="T43" fmla="*/ 200 h 320"/>
            <a:gd name="T44" fmla="*/ 296 w 673"/>
            <a:gd name="T45" fmla="*/ 209 h 320"/>
            <a:gd name="T46" fmla="*/ 287 w 673"/>
            <a:gd name="T47" fmla="*/ 200 h 320"/>
            <a:gd name="T48" fmla="*/ 248 w 673"/>
            <a:gd name="T49" fmla="*/ 191 h 320"/>
            <a:gd name="T50" fmla="*/ 257 w 673"/>
            <a:gd name="T51" fmla="*/ 200 h 320"/>
            <a:gd name="T52" fmla="*/ 248 w 673"/>
            <a:gd name="T53" fmla="*/ 209 h 320"/>
            <a:gd name="T54" fmla="*/ 239 w 673"/>
            <a:gd name="T55" fmla="*/ 200 h 320"/>
            <a:gd name="T56" fmla="*/ 200 w 673"/>
            <a:gd name="T57" fmla="*/ 191 h 320"/>
            <a:gd name="T58" fmla="*/ 209 w 673"/>
            <a:gd name="T59" fmla="*/ 200 h 320"/>
            <a:gd name="T60" fmla="*/ 200 w 673"/>
            <a:gd name="T61" fmla="*/ 209 h 320"/>
            <a:gd name="T62" fmla="*/ 191 w 673"/>
            <a:gd name="T63" fmla="*/ 200 h 320"/>
            <a:gd name="T64" fmla="*/ 152 w 673"/>
            <a:gd name="T65" fmla="*/ 191 h 320"/>
            <a:gd name="T66" fmla="*/ 161 w 673"/>
            <a:gd name="T67" fmla="*/ 200 h 320"/>
            <a:gd name="T68" fmla="*/ 152 w 673"/>
            <a:gd name="T69" fmla="*/ 209 h 320"/>
            <a:gd name="T70" fmla="*/ 143 w 673"/>
            <a:gd name="T71" fmla="*/ 200 h 320"/>
            <a:gd name="T72" fmla="*/ 104 w 673"/>
            <a:gd name="T73" fmla="*/ 191 h 320"/>
            <a:gd name="T74" fmla="*/ 113 w 673"/>
            <a:gd name="T75" fmla="*/ 200 h 320"/>
            <a:gd name="T76" fmla="*/ 104 w 673"/>
            <a:gd name="T77" fmla="*/ 209 h 320"/>
            <a:gd name="T78" fmla="*/ 95 w 673"/>
            <a:gd name="T79" fmla="*/ 200 h 320"/>
            <a:gd name="T80" fmla="*/ 670 w 673"/>
            <a:gd name="T81" fmla="*/ 166 h 320"/>
            <a:gd name="T82" fmla="*/ 670 w 673"/>
            <a:gd name="T83" fmla="*/ 154 h 320"/>
            <a:gd name="T84" fmla="*/ 510 w 673"/>
            <a:gd name="T85" fmla="*/ 1 h 320"/>
            <a:gd name="T86" fmla="*/ 505 w 673"/>
            <a:gd name="T87" fmla="*/ 112 h 320"/>
            <a:gd name="T88" fmla="*/ 225 w 673"/>
            <a:gd name="T89" fmla="*/ 121 h 320"/>
            <a:gd name="T90" fmla="*/ 514 w 673"/>
            <a:gd name="T91" fmla="*/ 130 h 320"/>
            <a:gd name="T92" fmla="*/ 523 w 673"/>
            <a:gd name="T93" fmla="*/ 121 h 320"/>
            <a:gd name="T94" fmla="*/ 651 w 673"/>
            <a:gd name="T95" fmla="*/ 160 h 320"/>
            <a:gd name="T96" fmla="*/ 523 w 673"/>
            <a:gd name="T97" fmla="*/ 200 h 320"/>
            <a:gd name="T98" fmla="*/ 514 w 673"/>
            <a:gd name="T99" fmla="*/ 191 h 320"/>
            <a:gd name="T100" fmla="*/ 319 w 673"/>
            <a:gd name="T101" fmla="*/ 200 h 320"/>
            <a:gd name="T102" fmla="*/ 505 w 673"/>
            <a:gd name="T103" fmla="*/ 209 h 320"/>
            <a:gd name="T104" fmla="*/ 510 w 673"/>
            <a:gd name="T105" fmla="*/ 319 h 320"/>
            <a:gd name="T106" fmla="*/ 519 w 673"/>
            <a:gd name="T107" fmla="*/ 317 h 32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673" h="320">
              <a:moveTo>
                <a:pt x="192" y="121"/>
              </a:moveTo>
              <a:cubicBezTo>
                <a:pt x="192" y="116"/>
                <a:pt x="196" y="112"/>
                <a:pt x="201" y="112"/>
              </a:cubicBezTo>
              <a:cubicBezTo>
                <a:pt x="201" y="112"/>
                <a:pt x="201" y="112"/>
                <a:pt x="201" y="112"/>
              </a:cubicBezTo>
              <a:cubicBezTo>
                <a:pt x="206" y="112"/>
                <a:pt x="210" y="116"/>
                <a:pt x="210" y="121"/>
              </a:cubicBezTo>
              <a:cubicBezTo>
                <a:pt x="210" y="121"/>
                <a:pt x="210" y="121"/>
                <a:pt x="210" y="121"/>
              </a:cubicBezTo>
              <a:cubicBezTo>
                <a:pt x="210" y="126"/>
                <a:pt x="206" y="130"/>
                <a:pt x="201" y="130"/>
              </a:cubicBezTo>
              <a:cubicBezTo>
                <a:pt x="201" y="130"/>
                <a:pt x="201" y="130"/>
                <a:pt x="201" y="130"/>
              </a:cubicBezTo>
              <a:cubicBezTo>
                <a:pt x="196" y="130"/>
                <a:pt x="192" y="126"/>
                <a:pt x="192" y="121"/>
              </a:cubicBezTo>
              <a:close/>
              <a:moveTo>
                <a:pt x="144" y="121"/>
              </a:moveTo>
              <a:cubicBezTo>
                <a:pt x="144" y="116"/>
                <a:pt x="148" y="112"/>
                <a:pt x="153" y="112"/>
              </a:cubicBezTo>
              <a:cubicBezTo>
                <a:pt x="153" y="112"/>
                <a:pt x="153" y="112"/>
                <a:pt x="153" y="112"/>
              </a:cubicBezTo>
              <a:cubicBezTo>
                <a:pt x="158" y="112"/>
                <a:pt x="162" y="116"/>
                <a:pt x="162" y="121"/>
              </a:cubicBezTo>
              <a:cubicBezTo>
                <a:pt x="162" y="121"/>
                <a:pt x="162" y="121"/>
                <a:pt x="162" y="121"/>
              </a:cubicBezTo>
              <a:cubicBezTo>
                <a:pt x="162" y="126"/>
                <a:pt x="158" y="130"/>
                <a:pt x="153" y="130"/>
              </a:cubicBezTo>
              <a:cubicBezTo>
                <a:pt x="153" y="130"/>
                <a:pt x="153" y="130"/>
                <a:pt x="153" y="130"/>
              </a:cubicBezTo>
              <a:cubicBezTo>
                <a:pt x="148" y="130"/>
                <a:pt x="144" y="126"/>
                <a:pt x="144" y="121"/>
              </a:cubicBezTo>
              <a:close/>
              <a:moveTo>
                <a:pt x="96" y="121"/>
              </a:moveTo>
              <a:cubicBezTo>
                <a:pt x="96" y="116"/>
                <a:pt x="100" y="112"/>
                <a:pt x="105" y="112"/>
              </a:cubicBezTo>
              <a:cubicBezTo>
                <a:pt x="105" y="112"/>
                <a:pt x="105" y="112"/>
                <a:pt x="105" y="112"/>
              </a:cubicBezTo>
              <a:cubicBezTo>
                <a:pt x="110" y="112"/>
                <a:pt x="114" y="116"/>
                <a:pt x="114" y="121"/>
              </a:cubicBezTo>
              <a:cubicBezTo>
                <a:pt x="114" y="121"/>
                <a:pt x="114" y="121"/>
                <a:pt x="114" y="121"/>
              </a:cubicBezTo>
              <a:cubicBezTo>
                <a:pt x="114" y="126"/>
                <a:pt x="110" y="130"/>
                <a:pt x="105" y="130"/>
              </a:cubicBezTo>
              <a:cubicBezTo>
                <a:pt x="105" y="130"/>
                <a:pt x="105" y="130"/>
                <a:pt x="105" y="130"/>
              </a:cubicBezTo>
              <a:cubicBezTo>
                <a:pt x="100" y="130"/>
                <a:pt x="96" y="126"/>
                <a:pt x="96" y="121"/>
              </a:cubicBezTo>
              <a:close/>
              <a:moveTo>
                <a:pt x="48" y="121"/>
              </a:moveTo>
              <a:cubicBezTo>
                <a:pt x="48" y="116"/>
                <a:pt x="52" y="112"/>
                <a:pt x="57" y="112"/>
              </a:cubicBezTo>
              <a:cubicBezTo>
                <a:pt x="57" y="112"/>
                <a:pt x="57" y="112"/>
                <a:pt x="57" y="112"/>
              </a:cubicBezTo>
              <a:cubicBezTo>
                <a:pt x="62" y="112"/>
                <a:pt x="66" y="116"/>
                <a:pt x="66" y="121"/>
              </a:cubicBezTo>
              <a:cubicBezTo>
                <a:pt x="66" y="121"/>
                <a:pt x="66" y="121"/>
                <a:pt x="66" y="121"/>
              </a:cubicBezTo>
              <a:cubicBezTo>
                <a:pt x="66" y="126"/>
                <a:pt x="62" y="130"/>
                <a:pt x="57" y="130"/>
              </a:cubicBezTo>
              <a:cubicBezTo>
                <a:pt x="57" y="130"/>
                <a:pt x="57" y="130"/>
                <a:pt x="57" y="130"/>
              </a:cubicBezTo>
              <a:cubicBezTo>
                <a:pt x="52" y="130"/>
                <a:pt x="48" y="126"/>
                <a:pt x="48" y="121"/>
              </a:cubicBezTo>
              <a:close/>
              <a:moveTo>
                <a:pt x="0" y="121"/>
              </a:moveTo>
              <a:cubicBezTo>
                <a:pt x="0" y="116"/>
                <a:pt x="4" y="112"/>
                <a:pt x="9" y="112"/>
              </a:cubicBezTo>
              <a:cubicBezTo>
                <a:pt x="9" y="112"/>
                <a:pt x="9" y="112"/>
                <a:pt x="9" y="112"/>
              </a:cubicBezTo>
              <a:cubicBezTo>
                <a:pt x="14" y="112"/>
                <a:pt x="18" y="116"/>
                <a:pt x="18" y="121"/>
              </a:cubicBezTo>
              <a:cubicBezTo>
                <a:pt x="18" y="121"/>
                <a:pt x="18" y="121"/>
                <a:pt x="18" y="121"/>
              </a:cubicBezTo>
              <a:cubicBezTo>
                <a:pt x="18" y="126"/>
                <a:pt x="14" y="130"/>
                <a:pt x="9" y="130"/>
              </a:cubicBezTo>
              <a:cubicBezTo>
                <a:pt x="9" y="130"/>
                <a:pt x="9" y="130"/>
                <a:pt x="9" y="130"/>
              </a:cubicBezTo>
              <a:cubicBezTo>
                <a:pt x="4" y="130"/>
                <a:pt x="0" y="126"/>
                <a:pt x="0" y="121"/>
              </a:cubicBezTo>
              <a:close/>
              <a:moveTo>
                <a:pt x="287" y="200"/>
              </a:moveTo>
              <a:cubicBezTo>
                <a:pt x="287" y="195"/>
                <a:pt x="291" y="191"/>
                <a:pt x="296" y="191"/>
              </a:cubicBezTo>
              <a:cubicBezTo>
                <a:pt x="296" y="191"/>
                <a:pt x="296" y="191"/>
                <a:pt x="296" y="191"/>
              </a:cubicBezTo>
              <a:cubicBezTo>
                <a:pt x="301" y="191"/>
                <a:pt x="305" y="195"/>
                <a:pt x="305" y="200"/>
              </a:cubicBezTo>
              <a:cubicBezTo>
                <a:pt x="305" y="200"/>
                <a:pt x="305" y="200"/>
                <a:pt x="305" y="200"/>
              </a:cubicBezTo>
              <a:cubicBezTo>
                <a:pt x="305" y="205"/>
                <a:pt x="301" y="209"/>
                <a:pt x="296" y="209"/>
              </a:cubicBezTo>
              <a:cubicBezTo>
                <a:pt x="296" y="209"/>
                <a:pt x="296" y="209"/>
                <a:pt x="296" y="209"/>
              </a:cubicBezTo>
              <a:cubicBezTo>
                <a:pt x="291" y="209"/>
                <a:pt x="287" y="205"/>
                <a:pt x="287" y="200"/>
              </a:cubicBezTo>
              <a:close/>
              <a:moveTo>
                <a:pt x="239" y="200"/>
              </a:moveTo>
              <a:cubicBezTo>
                <a:pt x="239" y="195"/>
                <a:pt x="243" y="191"/>
                <a:pt x="248" y="191"/>
              </a:cubicBezTo>
              <a:cubicBezTo>
                <a:pt x="248" y="191"/>
                <a:pt x="248" y="191"/>
                <a:pt x="248" y="191"/>
              </a:cubicBezTo>
              <a:cubicBezTo>
                <a:pt x="253" y="191"/>
                <a:pt x="257" y="195"/>
                <a:pt x="257" y="200"/>
              </a:cubicBezTo>
              <a:cubicBezTo>
                <a:pt x="257" y="200"/>
                <a:pt x="257" y="200"/>
                <a:pt x="257" y="200"/>
              </a:cubicBezTo>
              <a:cubicBezTo>
                <a:pt x="257" y="205"/>
                <a:pt x="253" y="209"/>
                <a:pt x="248" y="209"/>
              </a:cubicBezTo>
              <a:cubicBezTo>
                <a:pt x="248" y="209"/>
                <a:pt x="248" y="209"/>
                <a:pt x="248" y="209"/>
              </a:cubicBezTo>
              <a:cubicBezTo>
                <a:pt x="243" y="209"/>
                <a:pt x="239" y="205"/>
                <a:pt x="239" y="200"/>
              </a:cubicBezTo>
              <a:close/>
              <a:moveTo>
                <a:pt x="191" y="200"/>
              </a:moveTo>
              <a:cubicBezTo>
                <a:pt x="191" y="195"/>
                <a:pt x="195" y="191"/>
                <a:pt x="200" y="191"/>
              </a:cubicBezTo>
              <a:cubicBezTo>
                <a:pt x="200" y="191"/>
                <a:pt x="200" y="191"/>
                <a:pt x="200" y="191"/>
              </a:cubicBezTo>
              <a:cubicBezTo>
                <a:pt x="205" y="191"/>
                <a:pt x="209" y="195"/>
                <a:pt x="209" y="200"/>
              </a:cubicBezTo>
              <a:cubicBezTo>
                <a:pt x="209" y="200"/>
                <a:pt x="209" y="200"/>
                <a:pt x="209" y="200"/>
              </a:cubicBezTo>
              <a:cubicBezTo>
                <a:pt x="209" y="205"/>
                <a:pt x="205" y="209"/>
                <a:pt x="200" y="209"/>
              </a:cubicBezTo>
              <a:cubicBezTo>
                <a:pt x="200" y="209"/>
                <a:pt x="200" y="209"/>
                <a:pt x="200" y="209"/>
              </a:cubicBezTo>
              <a:cubicBezTo>
                <a:pt x="195" y="209"/>
                <a:pt x="191" y="205"/>
                <a:pt x="191" y="200"/>
              </a:cubicBezTo>
              <a:close/>
              <a:moveTo>
                <a:pt x="143" y="200"/>
              </a:moveTo>
              <a:cubicBezTo>
                <a:pt x="143" y="195"/>
                <a:pt x="147" y="191"/>
                <a:pt x="152" y="191"/>
              </a:cubicBezTo>
              <a:cubicBezTo>
                <a:pt x="152" y="191"/>
                <a:pt x="152" y="191"/>
                <a:pt x="152" y="191"/>
              </a:cubicBezTo>
              <a:cubicBezTo>
                <a:pt x="157" y="191"/>
                <a:pt x="161" y="195"/>
                <a:pt x="161" y="200"/>
              </a:cubicBezTo>
              <a:cubicBezTo>
                <a:pt x="161" y="200"/>
                <a:pt x="161" y="200"/>
                <a:pt x="161" y="200"/>
              </a:cubicBezTo>
              <a:cubicBezTo>
                <a:pt x="161" y="205"/>
                <a:pt x="157" y="209"/>
                <a:pt x="152" y="209"/>
              </a:cubicBezTo>
              <a:cubicBezTo>
                <a:pt x="152" y="209"/>
                <a:pt x="152" y="209"/>
                <a:pt x="152" y="209"/>
              </a:cubicBezTo>
              <a:cubicBezTo>
                <a:pt x="147" y="209"/>
                <a:pt x="143" y="205"/>
                <a:pt x="143" y="200"/>
              </a:cubicBezTo>
              <a:close/>
              <a:moveTo>
                <a:pt x="95" y="200"/>
              </a:moveTo>
              <a:cubicBezTo>
                <a:pt x="95" y="195"/>
                <a:pt x="99" y="191"/>
                <a:pt x="104" y="191"/>
              </a:cubicBezTo>
              <a:cubicBezTo>
                <a:pt x="104" y="191"/>
                <a:pt x="104" y="191"/>
                <a:pt x="104" y="191"/>
              </a:cubicBezTo>
              <a:cubicBezTo>
                <a:pt x="109" y="191"/>
                <a:pt x="113" y="195"/>
                <a:pt x="113" y="200"/>
              </a:cubicBezTo>
              <a:cubicBezTo>
                <a:pt x="113" y="200"/>
                <a:pt x="113" y="200"/>
                <a:pt x="113" y="200"/>
              </a:cubicBezTo>
              <a:cubicBezTo>
                <a:pt x="113" y="205"/>
                <a:pt x="109" y="209"/>
                <a:pt x="104" y="209"/>
              </a:cubicBezTo>
              <a:cubicBezTo>
                <a:pt x="104" y="209"/>
                <a:pt x="104" y="209"/>
                <a:pt x="104" y="209"/>
              </a:cubicBezTo>
              <a:cubicBezTo>
                <a:pt x="99" y="209"/>
                <a:pt x="95" y="205"/>
                <a:pt x="95" y="200"/>
              </a:cubicBezTo>
              <a:close/>
              <a:moveTo>
                <a:pt x="519" y="317"/>
              </a:moveTo>
              <a:cubicBezTo>
                <a:pt x="670" y="166"/>
                <a:pt x="670" y="166"/>
                <a:pt x="670" y="166"/>
              </a:cubicBezTo>
              <a:cubicBezTo>
                <a:pt x="672" y="165"/>
                <a:pt x="673" y="162"/>
                <a:pt x="673" y="160"/>
              </a:cubicBezTo>
              <a:cubicBezTo>
                <a:pt x="673" y="158"/>
                <a:pt x="672" y="155"/>
                <a:pt x="670" y="154"/>
              </a:cubicBezTo>
              <a:cubicBezTo>
                <a:pt x="519" y="3"/>
                <a:pt x="519" y="3"/>
                <a:pt x="519" y="3"/>
              </a:cubicBezTo>
              <a:cubicBezTo>
                <a:pt x="517" y="0"/>
                <a:pt x="513" y="0"/>
                <a:pt x="510" y="1"/>
              </a:cubicBezTo>
              <a:cubicBezTo>
                <a:pt x="506" y="2"/>
                <a:pt x="504" y="6"/>
                <a:pt x="504" y="9"/>
              </a:cubicBezTo>
              <a:cubicBezTo>
                <a:pt x="505" y="112"/>
                <a:pt x="505" y="112"/>
                <a:pt x="505" y="112"/>
              </a:cubicBezTo>
              <a:cubicBezTo>
                <a:pt x="234" y="112"/>
                <a:pt x="234" y="112"/>
                <a:pt x="234" y="112"/>
              </a:cubicBezTo>
              <a:cubicBezTo>
                <a:pt x="229" y="112"/>
                <a:pt x="225" y="116"/>
                <a:pt x="225" y="121"/>
              </a:cubicBezTo>
              <a:cubicBezTo>
                <a:pt x="225" y="126"/>
                <a:pt x="229" y="130"/>
                <a:pt x="234" y="130"/>
              </a:cubicBezTo>
              <a:cubicBezTo>
                <a:pt x="514" y="130"/>
                <a:pt x="514" y="130"/>
                <a:pt x="514" y="130"/>
              </a:cubicBezTo>
              <a:cubicBezTo>
                <a:pt x="516" y="130"/>
                <a:pt x="519" y="129"/>
                <a:pt x="520" y="128"/>
              </a:cubicBezTo>
              <a:cubicBezTo>
                <a:pt x="522" y="126"/>
                <a:pt x="523" y="124"/>
                <a:pt x="523" y="121"/>
              </a:cubicBezTo>
              <a:cubicBezTo>
                <a:pt x="522" y="31"/>
                <a:pt x="522" y="31"/>
                <a:pt x="522" y="31"/>
              </a:cubicBezTo>
              <a:cubicBezTo>
                <a:pt x="651" y="160"/>
                <a:pt x="651" y="160"/>
                <a:pt x="651" y="160"/>
              </a:cubicBezTo>
              <a:cubicBezTo>
                <a:pt x="522" y="289"/>
                <a:pt x="522" y="289"/>
                <a:pt x="522" y="289"/>
              </a:cubicBezTo>
              <a:cubicBezTo>
                <a:pt x="523" y="200"/>
                <a:pt x="523" y="200"/>
                <a:pt x="523" y="200"/>
              </a:cubicBezTo>
              <a:cubicBezTo>
                <a:pt x="523" y="198"/>
                <a:pt x="522" y="195"/>
                <a:pt x="520" y="194"/>
              </a:cubicBezTo>
              <a:cubicBezTo>
                <a:pt x="518" y="192"/>
                <a:pt x="516" y="191"/>
                <a:pt x="514" y="191"/>
              </a:cubicBezTo>
              <a:cubicBezTo>
                <a:pt x="328" y="191"/>
                <a:pt x="328" y="191"/>
                <a:pt x="328" y="191"/>
              </a:cubicBezTo>
              <a:cubicBezTo>
                <a:pt x="323" y="191"/>
                <a:pt x="319" y="195"/>
                <a:pt x="319" y="200"/>
              </a:cubicBezTo>
              <a:cubicBezTo>
                <a:pt x="319" y="205"/>
                <a:pt x="323" y="209"/>
                <a:pt x="328" y="209"/>
              </a:cubicBezTo>
              <a:cubicBezTo>
                <a:pt x="505" y="209"/>
                <a:pt x="505" y="209"/>
                <a:pt x="505" y="209"/>
              </a:cubicBezTo>
              <a:cubicBezTo>
                <a:pt x="504" y="311"/>
                <a:pt x="504" y="311"/>
                <a:pt x="504" y="311"/>
              </a:cubicBezTo>
              <a:cubicBezTo>
                <a:pt x="504" y="314"/>
                <a:pt x="506" y="318"/>
                <a:pt x="510" y="319"/>
              </a:cubicBezTo>
              <a:cubicBezTo>
                <a:pt x="511" y="319"/>
                <a:pt x="512" y="320"/>
                <a:pt x="513" y="320"/>
              </a:cubicBezTo>
              <a:cubicBezTo>
                <a:pt x="515" y="320"/>
                <a:pt x="518" y="319"/>
                <a:pt x="519" y="317"/>
              </a:cubicBezTo>
              <a:close/>
            </a:path>
          </a:pathLst>
        </a:custGeom>
        <a:solidFill>
          <a:schemeClr val="bg1"/>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586130" rtl="0" eaLnBrk="1" latinLnBrk="0" hangingPunct="1">
            <a:defRPr sz="2308" kern="1200">
              <a:solidFill>
                <a:schemeClr val="tx1"/>
              </a:solidFill>
              <a:latin typeface="+mn-lt"/>
              <a:ea typeface="+mn-ea"/>
              <a:cs typeface="+mn-cs"/>
            </a:defRPr>
          </a:lvl1pPr>
          <a:lvl2pPr marL="586130" algn="l" defTabSz="586130" rtl="0" eaLnBrk="1" latinLnBrk="0" hangingPunct="1">
            <a:defRPr sz="2308" kern="1200">
              <a:solidFill>
                <a:schemeClr val="tx1"/>
              </a:solidFill>
              <a:latin typeface="+mn-lt"/>
              <a:ea typeface="+mn-ea"/>
              <a:cs typeface="+mn-cs"/>
            </a:defRPr>
          </a:lvl2pPr>
          <a:lvl3pPr marL="1172261" algn="l" defTabSz="586130" rtl="0" eaLnBrk="1" latinLnBrk="0" hangingPunct="1">
            <a:defRPr sz="2308" kern="1200">
              <a:solidFill>
                <a:schemeClr val="tx1"/>
              </a:solidFill>
              <a:latin typeface="+mn-lt"/>
              <a:ea typeface="+mn-ea"/>
              <a:cs typeface="+mn-cs"/>
            </a:defRPr>
          </a:lvl3pPr>
          <a:lvl4pPr marL="1758391" algn="l" defTabSz="586130" rtl="0" eaLnBrk="1" latinLnBrk="0" hangingPunct="1">
            <a:defRPr sz="2308" kern="1200">
              <a:solidFill>
                <a:schemeClr val="tx1"/>
              </a:solidFill>
              <a:latin typeface="+mn-lt"/>
              <a:ea typeface="+mn-ea"/>
              <a:cs typeface="+mn-cs"/>
            </a:defRPr>
          </a:lvl4pPr>
          <a:lvl5pPr marL="2344522" algn="l" defTabSz="586130" rtl="0" eaLnBrk="1" latinLnBrk="0" hangingPunct="1">
            <a:defRPr sz="2308" kern="1200">
              <a:solidFill>
                <a:schemeClr val="tx1"/>
              </a:solidFill>
              <a:latin typeface="+mn-lt"/>
              <a:ea typeface="+mn-ea"/>
              <a:cs typeface="+mn-cs"/>
            </a:defRPr>
          </a:lvl5pPr>
          <a:lvl6pPr marL="2930652" algn="l" defTabSz="586130" rtl="0" eaLnBrk="1" latinLnBrk="0" hangingPunct="1">
            <a:defRPr sz="2308" kern="1200">
              <a:solidFill>
                <a:schemeClr val="tx1"/>
              </a:solidFill>
              <a:latin typeface="+mn-lt"/>
              <a:ea typeface="+mn-ea"/>
              <a:cs typeface="+mn-cs"/>
            </a:defRPr>
          </a:lvl6pPr>
          <a:lvl7pPr marL="3516782" algn="l" defTabSz="586130" rtl="0" eaLnBrk="1" latinLnBrk="0" hangingPunct="1">
            <a:defRPr sz="2308" kern="1200">
              <a:solidFill>
                <a:schemeClr val="tx1"/>
              </a:solidFill>
              <a:latin typeface="+mn-lt"/>
              <a:ea typeface="+mn-ea"/>
              <a:cs typeface="+mn-cs"/>
            </a:defRPr>
          </a:lvl7pPr>
          <a:lvl8pPr marL="4102913" algn="l" defTabSz="586130" rtl="0" eaLnBrk="1" latinLnBrk="0" hangingPunct="1">
            <a:defRPr sz="2308" kern="1200">
              <a:solidFill>
                <a:schemeClr val="tx1"/>
              </a:solidFill>
              <a:latin typeface="+mn-lt"/>
              <a:ea typeface="+mn-ea"/>
              <a:cs typeface="+mn-cs"/>
            </a:defRPr>
          </a:lvl8pPr>
          <a:lvl9pPr marL="4689043" algn="l" defTabSz="586130" rtl="0" eaLnBrk="1" latinLnBrk="0" hangingPunct="1">
            <a:defRPr sz="2308" kern="1200">
              <a:solidFill>
                <a:schemeClr val="tx1"/>
              </a:solidFill>
              <a:latin typeface="+mn-lt"/>
              <a:ea typeface="+mn-ea"/>
              <a:cs typeface="+mn-cs"/>
            </a:defRPr>
          </a:lvl9pPr>
        </a:lstStyle>
        <a:p>
          <a:endParaRPr lang="en-US"/>
        </a:p>
      </xdr:txBody>
    </xdr:sp>
    <xdr:clientData/>
  </xdr:twoCellAnchor>
  <xdr:twoCellAnchor>
    <xdr:from>
      <xdr:col>6</xdr:col>
      <xdr:colOff>0</xdr:colOff>
      <xdr:row>0</xdr:row>
      <xdr:rowOff>723899</xdr:rowOff>
    </xdr:from>
    <xdr:to>
      <xdr:col>8</xdr:col>
      <xdr:colOff>304800</xdr:colOff>
      <xdr:row>6</xdr:row>
      <xdr:rowOff>200024</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9639300" y="723899"/>
          <a:ext cx="1828800" cy="1247775"/>
          <a:chOff x="6400800" y="3475452"/>
          <a:chExt cx="1828800" cy="1095463"/>
        </a:xfrm>
      </xdr:grpSpPr>
      <xdr:sp macro="" textlink="">
        <xdr:nvSpPr>
          <xdr:cNvPr id="26" name="Round Diagonal Corner Rectangle 25">
            <a:hlinkClick xmlns:r="http://schemas.openxmlformats.org/officeDocument/2006/relationships" r:id="rId4"/>
            <a:extLst>
              <a:ext uri="{FF2B5EF4-FFF2-40B4-BE49-F238E27FC236}">
                <a16:creationId xmlns:a16="http://schemas.microsoft.com/office/drawing/2014/main" id="{00000000-0008-0000-0100-00001A000000}"/>
              </a:ext>
            </a:extLst>
          </xdr:cNvPr>
          <xdr:cNvSpPr>
            <a:spLocks/>
          </xdr:cNvSpPr>
        </xdr:nvSpPr>
        <xdr:spPr>
          <a:xfrm>
            <a:off x="6400800" y="3475452"/>
            <a:ext cx="1828800" cy="1095463"/>
          </a:xfrm>
          <a:prstGeom prst="round2DiagRect">
            <a:avLst/>
          </a:prstGeom>
          <a:gradFill>
            <a:gsLst>
              <a:gs pos="0">
                <a:srgbClr val="F5F5F5"/>
              </a:gs>
              <a:gs pos="50000">
                <a:srgbClr val="EFEFEF"/>
              </a:gs>
              <a:gs pos="100000">
                <a:srgbClr val="E8E8E8"/>
              </a:gs>
            </a:gsLst>
            <a:lin ang="5400000" scaled="1"/>
          </a:gradFill>
          <a:ln w="12700" cap="flat" cmpd="sng" algn="ctr">
            <a:noFill/>
            <a:prstDash val="solid"/>
            <a:miter lim="800000"/>
          </a:ln>
          <a:effectLst>
            <a:outerShdw blurRad="50800" dist="38100" dir="2700000" algn="tl" rotWithShape="0">
              <a:prstClr val="black">
                <a:alpha val="40000"/>
              </a:prstClr>
            </a:outerShdw>
          </a:effectLst>
        </xdr:spPr>
        <xdr:txBody>
          <a:bodyPr wrap="square" lIns="45720" tIns="0" rIns="0" bIns="0" rtlCol="0" anchor="ctr"/>
          <a:lstStyle>
            <a:defPPr>
              <a:defRPr lang="en-US"/>
            </a:defPPr>
            <a:lvl1pPr marL="0" algn="l" defTabSz="586130" rtl="0" eaLnBrk="1" latinLnBrk="0" hangingPunct="1">
              <a:defRPr sz="2308" kern="1200">
                <a:solidFill>
                  <a:schemeClr val="tx1"/>
                </a:solidFill>
                <a:latin typeface="+mn-lt"/>
                <a:ea typeface="+mn-ea"/>
                <a:cs typeface="+mn-cs"/>
              </a:defRPr>
            </a:lvl1pPr>
            <a:lvl2pPr marL="586130" algn="l" defTabSz="586130" rtl="0" eaLnBrk="1" latinLnBrk="0" hangingPunct="1">
              <a:defRPr sz="2308" kern="1200">
                <a:solidFill>
                  <a:schemeClr val="tx1"/>
                </a:solidFill>
                <a:latin typeface="+mn-lt"/>
                <a:ea typeface="+mn-ea"/>
                <a:cs typeface="+mn-cs"/>
              </a:defRPr>
            </a:lvl2pPr>
            <a:lvl3pPr marL="1172261" algn="l" defTabSz="586130" rtl="0" eaLnBrk="1" latinLnBrk="0" hangingPunct="1">
              <a:defRPr sz="2308" kern="1200">
                <a:solidFill>
                  <a:schemeClr val="tx1"/>
                </a:solidFill>
                <a:latin typeface="+mn-lt"/>
                <a:ea typeface="+mn-ea"/>
                <a:cs typeface="+mn-cs"/>
              </a:defRPr>
            </a:lvl3pPr>
            <a:lvl4pPr marL="1758391" algn="l" defTabSz="586130" rtl="0" eaLnBrk="1" latinLnBrk="0" hangingPunct="1">
              <a:defRPr sz="2308" kern="1200">
                <a:solidFill>
                  <a:schemeClr val="tx1"/>
                </a:solidFill>
                <a:latin typeface="+mn-lt"/>
                <a:ea typeface="+mn-ea"/>
                <a:cs typeface="+mn-cs"/>
              </a:defRPr>
            </a:lvl4pPr>
            <a:lvl5pPr marL="2344522" algn="l" defTabSz="586130" rtl="0" eaLnBrk="1" latinLnBrk="0" hangingPunct="1">
              <a:defRPr sz="2308" kern="1200">
                <a:solidFill>
                  <a:schemeClr val="tx1"/>
                </a:solidFill>
                <a:latin typeface="+mn-lt"/>
                <a:ea typeface="+mn-ea"/>
                <a:cs typeface="+mn-cs"/>
              </a:defRPr>
            </a:lvl5pPr>
            <a:lvl6pPr marL="2930652" algn="l" defTabSz="586130" rtl="0" eaLnBrk="1" latinLnBrk="0" hangingPunct="1">
              <a:defRPr sz="2308" kern="1200">
                <a:solidFill>
                  <a:schemeClr val="tx1"/>
                </a:solidFill>
                <a:latin typeface="+mn-lt"/>
                <a:ea typeface="+mn-ea"/>
                <a:cs typeface="+mn-cs"/>
              </a:defRPr>
            </a:lvl6pPr>
            <a:lvl7pPr marL="3516782" algn="l" defTabSz="586130" rtl="0" eaLnBrk="1" latinLnBrk="0" hangingPunct="1">
              <a:defRPr sz="2308" kern="1200">
                <a:solidFill>
                  <a:schemeClr val="tx1"/>
                </a:solidFill>
                <a:latin typeface="+mn-lt"/>
                <a:ea typeface="+mn-ea"/>
                <a:cs typeface="+mn-cs"/>
              </a:defRPr>
            </a:lvl7pPr>
            <a:lvl8pPr marL="4102913" algn="l" defTabSz="586130" rtl="0" eaLnBrk="1" latinLnBrk="0" hangingPunct="1">
              <a:defRPr sz="2308" kern="1200">
                <a:solidFill>
                  <a:schemeClr val="tx1"/>
                </a:solidFill>
                <a:latin typeface="+mn-lt"/>
                <a:ea typeface="+mn-ea"/>
                <a:cs typeface="+mn-cs"/>
              </a:defRPr>
            </a:lvl8pPr>
            <a:lvl9pPr marL="4689043" algn="l" defTabSz="586130" rtl="0" eaLnBrk="1" latinLnBrk="0" hangingPunct="1">
              <a:defRPr sz="2308" kern="1200">
                <a:solidFill>
                  <a:schemeClr val="tx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400" b="0" i="0" u="none" strike="noStrike" kern="0" cap="none" spc="0" normalizeH="0" baseline="0">
                <a:ln>
                  <a:noFill/>
                </a:ln>
                <a:solidFill>
                  <a:schemeClr val="tx2"/>
                </a:solidFill>
                <a:effectLst/>
                <a:uLnTx/>
                <a:uFillTx/>
                <a:latin typeface="Wells Fargo Sans"/>
                <a:ea typeface="+mn-ea"/>
                <a:cs typeface="+mn-cs"/>
              </a:rPr>
              <a:t>Click to go to Step 7</a:t>
            </a:r>
            <a:br>
              <a:rPr kumimoji="0" lang="en-US" sz="1400" b="0" i="0" u="none" strike="noStrike" kern="0" cap="none" spc="0" normalizeH="0" baseline="0">
                <a:ln>
                  <a:noFill/>
                </a:ln>
                <a:solidFill>
                  <a:schemeClr val="tx2"/>
                </a:solidFill>
                <a:effectLst/>
                <a:uLnTx/>
                <a:uFillTx/>
                <a:latin typeface="Wells Fargo Sans"/>
                <a:ea typeface="+mn-ea"/>
                <a:cs typeface="+mn-cs"/>
              </a:rPr>
            </a:br>
            <a:endParaRPr kumimoji="0" lang="en-US" sz="1400" b="0" i="0" u="none" strike="noStrike" kern="0" cap="none" spc="0" normalizeH="0" baseline="0">
              <a:ln>
                <a:noFill/>
              </a:ln>
              <a:solidFill>
                <a:schemeClr val="tx2"/>
              </a:solidFill>
              <a:effectLst/>
              <a:uLnTx/>
              <a:uFillTx/>
              <a:latin typeface="Wells Fargo Sans"/>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a:ln>
                <a:noFill/>
              </a:ln>
              <a:solidFill>
                <a:schemeClr val="tx2"/>
              </a:solidFill>
              <a:effectLst/>
              <a:uLnTx/>
              <a:uFillTx/>
              <a:latin typeface="Wells Fargo Sans"/>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400" b="0" i="0" u="none" strike="noStrike" kern="0" cap="none" spc="0" normalizeH="0" baseline="0">
                <a:ln>
                  <a:noFill/>
                </a:ln>
                <a:solidFill>
                  <a:schemeClr val="tx2"/>
                </a:solidFill>
                <a:effectLst/>
                <a:uLnTx/>
                <a:uFillTx/>
                <a:latin typeface="Wells Fargo Sans Light" panose="020B0403020203020204" pitchFamily="34" charset="0"/>
                <a:ea typeface="+mn-ea"/>
                <a:cs typeface="+mn-cs"/>
              </a:rPr>
              <a:t>to enter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0" cap="none" spc="20" normalizeH="0">
                <a:ln>
                  <a:noFill/>
                </a:ln>
                <a:solidFill>
                  <a:schemeClr val="accent4"/>
                </a:solidFill>
                <a:effectLst>
                  <a:outerShdw blurRad="38100" dist="25400" dir="2700000" algn="tl">
                    <a:srgbClr val="4D4D4D">
                      <a:alpha val="43000"/>
                    </a:srgbClr>
                  </a:outerShdw>
                </a:effectLst>
                <a:uLnTx/>
                <a:uFillTx/>
                <a:latin typeface="Wells Fargo Sans SemiBold"/>
                <a:ea typeface="+mn-ea"/>
                <a:cs typeface="+mn-cs"/>
              </a:rPr>
              <a:t>Restrictions</a:t>
            </a:r>
          </a:p>
        </xdr:txBody>
      </xdr:sp>
      <xdr:sp macro="" textlink="">
        <xdr:nvSpPr>
          <xdr:cNvPr id="27" name="Freeform 26">
            <a:extLst>
              <a:ext uri="{FF2B5EF4-FFF2-40B4-BE49-F238E27FC236}">
                <a16:creationId xmlns:a16="http://schemas.microsoft.com/office/drawing/2014/main" id="{00000000-0008-0000-0100-00001B000000}"/>
              </a:ext>
            </a:extLst>
          </xdr:cNvPr>
          <xdr:cNvSpPr>
            <a:spLocks noChangeAspect="1" noEditPoints="1"/>
          </xdr:cNvSpPr>
        </xdr:nvSpPr>
        <xdr:spPr bwMode="auto">
          <a:xfrm>
            <a:off x="7040880" y="3852862"/>
            <a:ext cx="1093788" cy="523875"/>
          </a:xfrm>
          <a:custGeom>
            <a:avLst/>
            <a:gdLst>
              <a:gd name="T0" fmla="*/ 201 w 673"/>
              <a:gd name="T1" fmla="*/ 112 h 320"/>
              <a:gd name="T2" fmla="*/ 210 w 673"/>
              <a:gd name="T3" fmla="*/ 121 h 320"/>
              <a:gd name="T4" fmla="*/ 201 w 673"/>
              <a:gd name="T5" fmla="*/ 130 h 320"/>
              <a:gd name="T6" fmla="*/ 192 w 673"/>
              <a:gd name="T7" fmla="*/ 121 h 320"/>
              <a:gd name="T8" fmla="*/ 153 w 673"/>
              <a:gd name="T9" fmla="*/ 112 h 320"/>
              <a:gd name="T10" fmla="*/ 162 w 673"/>
              <a:gd name="T11" fmla="*/ 121 h 320"/>
              <a:gd name="T12" fmla="*/ 153 w 673"/>
              <a:gd name="T13" fmla="*/ 130 h 320"/>
              <a:gd name="T14" fmla="*/ 144 w 673"/>
              <a:gd name="T15" fmla="*/ 121 h 320"/>
              <a:gd name="T16" fmla="*/ 105 w 673"/>
              <a:gd name="T17" fmla="*/ 112 h 320"/>
              <a:gd name="T18" fmla="*/ 114 w 673"/>
              <a:gd name="T19" fmla="*/ 121 h 320"/>
              <a:gd name="T20" fmla="*/ 105 w 673"/>
              <a:gd name="T21" fmla="*/ 130 h 320"/>
              <a:gd name="T22" fmla="*/ 96 w 673"/>
              <a:gd name="T23" fmla="*/ 121 h 320"/>
              <a:gd name="T24" fmla="*/ 57 w 673"/>
              <a:gd name="T25" fmla="*/ 112 h 320"/>
              <a:gd name="T26" fmla="*/ 66 w 673"/>
              <a:gd name="T27" fmla="*/ 121 h 320"/>
              <a:gd name="T28" fmla="*/ 57 w 673"/>
              <a:gd name="T29" fmla="*/ 130 h 320"/>
              <a:gd name="T30" fmla="*/ 48 w 673"/>
              <a:gd name="T31" fmla="*/ 121 h 320"/>
              <a:gd name="T32" fmla="*/ 9 w 673"/>
              <a:gd name="T33" fmla="*/ 112 h 320"/>
              <a:gd name="T34" fmla="*/ 18 w 673"/>
              <a:gd name="T35" fmla="*/ 121 h 320"/>
              <a:gd name="T36" fmla="*/ 9 w 673"/>
              <a:gd name="T37" fmla="*/ 130 h 320"/>
              <a:gd name="T38" fmla="*/ 0 w 673"/>
              <a:gd name="T39" fmla="*/ 121 h 320"/>
              <a:gd name="T40" fmla="*/ 296 w 673"/>
              <a:gd name="T41" fmla="*/ 191 h 320"/>
              <a:gd name="T42" fmla="*/ 305 w 673"/>
              <a:gd name="T43" fmla="*/ 200 h 320"/>
              <a:gd name="T44" fmla="*/ 296 w 673"/>
              <a:gd name="T45" fmla="*/ 209 h 320"/>
              <a:gd name="T46" fmla="*/ 287 w 673"/>
              <a:gd name="T47" fmla="*/ 200 h 320"/>
              <a:gd name="T48" fmla="*/ 248 w 673"/>
              <a:gd name="T49" fmla="*/ 191 h 320"/>
              <a:gd name="T50" fmla="*/ 257 w 673"/>
              <a:gd name="T51" fmla="*/ 200 h 320"/>
              <a:gd name="T52" fmla="*/ 248 w 673"/>
              <a:gd name="T53" fmla="*/ 209 h 320"/>
              <a:gd name="T54" fmla="*/ 239 w 673"/>
              <a:gd name="T55" fmla="*/ 200 h 320"/>
              <a:gd name="T56" fmla="*/ 200 w 673"/>
              <a:gd name="T57" fmla="*/ 191 h 320"/>
              <a:gd name="T58" fmla="*/ 209 w 673"/>
              <a:gd name="T59" fmla="*/ 200 h 320"/>
              <a:gd name="T60" fmla="*/ 200 w 673"/>
              <a:gd name="T61" fmla="*/ 209 h 320"/>
              <a:gd name="T62" fmla="*/ 191 w 673"/>
              <a:gd name="T63" fmla="*/ 200 h 320"/>
              <a:gd name="T64" fmla="*/ 152 w 673"/>
              <a:gd name="T65" fmla="*/ 191 h 320"/>
              <a:gd name="T66" fmla="*/ 161 w 673"/>
              <a:gd name="T67" fmla="*/ 200 h 320"/>
              <a:gd name="T68" fmla="*/ 152 w 673"/>
              <a:gd name="T69" fmla="*/ 209 h 320"/>
              <a:gd name="T70" fmla="*/ 143 w 673"/>
              <a:gd name="T71" fmla="*/ 200 h 320"/>
              <a:gd name="T72" fmla="*/ 104 w 673"/>
              <a:gd name="T73" fmla="*/ 191 h 320"/>
              <a:gd name="T74" fmla="*/ 113 w 673"/>
              <a:gd name="T75" fmla="*/ 200 h 320"/>
              <a:gd name="T76" fmla="*/ 104 w 673"/>
              <a:gd name="T77" fmla="*/ 209 h 320"/>
              <a:gd name="T78" fmla="*/ 95 w 673"/>
              <a:gd name="T79" fmla="*/ 200 h 320"/>
              <a:gd name="T80" fmla="*/ 670 w 673"/>
              <a:gd name="T81" fmla="*/ 166 h 320"/>
              <a:gd name="T82" fmla="*/ 670 w 673"/>
              <a:gd name="T83" fmla="*/ 154 h 320"/>
              <a:gd name="T84" fmla="*/ 510 w 673"/>
              <a:gd name="T85" fmla="*/ 1 h 320"/>
              <a:gd name="T86" fmla="*/ 505 w 673"/>
              <a:gd name="T87" fmla="*/ 112 h 320"/>
              <a:gd name="T88" fmla="*/ 225 w 673"/>
              <a:gd name="T89" fmla="*/ 121 h 320"/>
              <a:gd name="T90" fmla="*/ 514 w 673"/>
              <a:gd name="T91" fmla="*/ 130 h 320"/>
              <a:gd name="T92" fmla="*/ 523 w 673"/>
              <a:gd name="T93" fmla="*/ 121 h 320"/>
              <a:gd name="T94" fmla="*/ 651 w 673"/>
              <a:gd name="T95" fmla="*/ 160 h 320"/>
              <a:gd name="T96" fmla="*/ 523 w 673"/>
              <a:gd name="T97" fmla="*/ 200 h 320"/>
              <a:gd name="T98" fmla="*/ 514 w 673"/>
              <a:gd name="T99" fmla="*/ 191 h 320"/>
              <a:gd name="T100" fmla="*/ 319 w 673"/>
              <a:gd name="T101" fmla="*/ 200 h 320"/>
              <a:gd name="T102" fmla="*/ 505 w 673"/>
              <a:gd name="T103" fmla="*/ 209 h 320"/>
              <a:gd name="T104" fmla="*/ 510 w 673"/>
              <a:gd name="T105" fmla="*/ 319 h 320"/>
              <a:gd name="T106" fmla="*/ 519 w 673"/>
              <a:gd name="T107" fmla="*/ 317 h 32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673" h="320">
                <a:moveTo>
                  <a:pt x="192" y="121"/>
                </a:moveTo>
                <a:cubicBezTo>
                  <a:pt x="192" y="116"/>
                  <a:pt x="196" y="112"/>
                  <a:pt x="201" y="112"/>
                </a:cubicBezTo>
                <a:cubicBezTo>
                  <a:pt x="201" y="112"/>
                  <a:pt x="201" y="112"/>
                  <a:pt x="201" y="112"/>
                </a:cubicBezTo>
                <a:cubicBezTo>
                  <a:pt x="206" y="112"/>
                  <a:pt x="210" y="116"/>
                  <a:pt x="210" y="121"/>
                </a:cubicBezTo>
                <a:cubicBezTo>
                  <a:pt x="210" y="121"/>
                  <a:pt x="210" y="121"/>
                  <a:pt x="210" y="121"/>
                </a:cubicBezTo>
                <a:cubicBezTo>
                  <a:pt x="210" y="126"/>
                  <a:pt x="206" y="130"/>
                  <a:pt x="201" y="130"/>
                </a:cubicBezTo>
                <a:cubicBezTo>
                  <a:pt x="201" y="130"/>
                  <a:pt x="201" y="130"/>
                  <a:pt x="201" y="130"/>
                </a:cubicBezTo>
                <a:cubicBezTo>
                  <a:pt x="196" y="130"/>
                  <a:pt x="192" y="126"/>
                  <a:pt x="192" y="121"/>
                </a:cubicBezTo>
                <a:close/>
                <a:moveTo>
                  <a:pt x="144" y="121"/>
                </a:moveTo>
                <a:cubicBezTo>
                  <a:pt x="144" y="116"/>
                  <a:pt x="148" y="112"/>
                  <a:pt x="153" y="112"/>
                </a:cubicBezTo>
                <a:cubicBezTo>
                  <a:pt x="153" y="112"/>
                  <a:pt x="153" y="112"/>
                  <a:pt x="153" y="112"/>
                </a:cubicBezTo>
                <a:cubicBezTo>
                  <a:pt x="158" y="112"/>
                  <a:pt x="162" y="116"/>
                  <a:pt x="162" y="121"/>
                </a:cubicBezTo>
                <a:cubicBezTo>
                  <a:pt x="162" y="121"/>
                  <a:pt x="162" y="121"/>
                  <a:pt x="162" y="121"/>
                </a:cubicBezTo>
                <a:cubicBezTo>
                  <a:pt x="162" y="126"/>
                  <a:pt x="158" y="130"/>
                  <a:pt x="153" y="130"/>
                </a:cubicBezTo>
                <a:cubicBezTo>
                  <a:pt x="153" y="130"/>
                  <a:pt x="153" y="130"/>
                  <a:pt x="153" y="130"/>
                </a:cubicBezTo>
                <a:cubicBezTo>
                  <a:pt x="148" y="130"/>
                  <a:pt x="144" y="126"/>
                  <a:pt x="144" y="121"/>
                </a:cubicBezTo>
                <a:close/>
                <a:moveTo>
                  <a:pt x="96" y="121"/>
                </a:moveTo>
                <a:cubicBezTo>
                  <a:pt x="96" y="116"/>
                  <a:pt x="100" y="112"/>
                  <a:pt x="105" y="112"/>
                </a:cubicBezTo>
                <a:cubicBezTo>
                  <a:pt x="105" y="112"/>
                  <a:pt x="105" y="112"/>
                  <a:pt x="105" y="112"/>
                </a:cubicBezTo>
                <a:cubicBezTo>
                  <a:pt x="110" y="112"/>
                  <a:pt x="114" y="116"/>
                  <a:pt x="114" y="121"/>
                </a:cubicBezTo>
                <a:cubicBezTo>
                  <a:pt x="114" y="121"/>
                  <a:pt x="114" y="121"/>
                  <a:pt x="114" y="121"/>
                </a:cubicBezTo>
                <a:cubicBezTo>
                  <a:pt x="114" y="126"/>
                  <a:pt x="110" y="130"/>
                  <a:pt x="105" y="130"/>
                </a:cubicBezTo>
                <a:cubicBezTo>
                  <a:pt x="105" y="130"/>
                  <a:pt x="105" y="130"/>
                  <a:pt x="105" y="130"/>
                </a:cubicBezTo>
                <a:cubicBezTo>
                  <a:pt x="100" y="130"/>
                  <a:pt x="96" y="126"/>
                  <a:pt x="96" y="121"/>
                </a:cubicBezTo>
                <a:close/>
                <a:moveTo>
                  <a:pt x="48" y="121"/>
                </a:moveTo>
                <a:cubicBezTo>
                  <a:pt x="48" y="116"/>
                  <a:pt x="52" y="112"/>
                  <a:pt x="57" y="112"/>
                </a:cubicBezTo>
                <a:cubicBezTo>
                  <a:pt x="57" y="112"/>
                  <a:pt x="57" y="112"/>
                  <a:pt x="57" y="112"/>
                </a:cubicBezTo>
                <a:cubicBezTo>
                  <a:pt x="62" y="112"/>
                  <a:pt x="66" y="116"/>
                  <a:pt x="66" y="121"/>
                </a:cubicBezTo>
                <a:cubicBezTo>
                  <a:pt x="66" y="121"/>
                  <a:pt x="66" y="121"/>
                  <a:pt x="66" y="121"/>
                </a:cubicBezTo>
                <a:cubicBezTo>
                  <a:pt x="66" y="126"/>
                  <a:pt x="62" y="130"/>
                  <a:pt x="57" y="130"/>
                </a:cubicBezTo>
                <a:cubicBezTo>
                  <a:pt x="57" y="130"/>
                  <a:pt x="57" y="130"/>
                  <a:pt x="57" y="130"/>
                </a:cubicBezTo>
                <a:cubicBezTo>
                  <a:pt x="52" y="130"/>
                  <a:pt x="48" y="126"/>
                  <a:pt x="48" y="121"/>
                </a:cubicBezTo>
                <a:close/>
                <a:moveTo>
                  <a:pt x="0" y="121"/>
                </a:moveTo>
                <a:cubicBezTo>
                  <a:pt x="0" y="116"/>
                  <a:pt x="4" y="112"/>
                  <a:pt x="9" y="112"/>
                </a:cubicBezTo>
                <a:cubicBezTo>
                  <a:pt x="9" y="112"/>
                  <a:pt x="9" y="112"/>
                  <a:pt x="9" y="112"/>
                </a:cubicBezTo>
                <a:cubicBezTo>
                  <a:pt x="14" y="112"/>
                  <a:pt x="18" y="116"/>
                  <a:pt x="18" y="121"/>
                </a:cubicBezTo>
                <a:cubicBezTo>
                  <a:pt x="18" y="121"/>
                  <a:pt x="18" y="121"/>
                  <a:pt x="18" y="121"/>
                </a:cubicBezTo>
                <a:cubicBezTo>
                  <a:pt x="18" y="126"/>
                  <a:pt x="14" y="130"/>
                  <a:pt x="9" y="130"/>
                </a:cubicBezTo>
                <a:cubicBezTo>
                  <a:pt x="9" y="130"/>
                  <a:pt x="9" y="130"/>
                  <a:pt x="9" y="130"/>
                </a:cubicBezTo>
                <a:cubicBezTo>
                  <a:pt x="4" y="130"/>
                  <a:pt x="0" y="126"/>
                  <a:pt x="0" y="121"/>
                </a:cubicBezTo>
                <a:close/>
                <a:moveTo>
                  <a:pt x="287" y="200"/>
                </a:moveTo>
                <a:cubicBezTo>
                  <a:pt x="287" y="195"/>
                  <a:pt x="291" y="191"/>
                  <a:pt x="296" y="191"/>
                </a:cubicBezTo>
                <a:cubicBezTo>
                  <a:pt x="296" y="191"/>
                  <a:pt x="296" y="191"/>
                  <a:pt x="296" y="191"/>
                </a:cubicBezTo>
                <a:cubicBezTo>
                  <a:pt x="301" y="191"/>
                  <a:pt x="305" y="195"/>
                  <a:pt x="305" y="200"/>
                </a:cubicBezTo>
                <a:cubicBezTo>
                  <a:pt x="305" y="200"/>
                  <a:pt x="305" y="200"/>
                  <a:pt x="305" y="200"/>
                </a:cubicBezTo>
                <a:cubicBezTo>
                  <a:pt x="305" y="205"/>
                  <a:pt x="301" y="209"/>
                  <a:pt x="296" y="209"/>
                </a:cubicBezTo>
                <a:cubicBezTo>
                  <a:pt x="296" y="209"/>
                  <a:pt x="296" y="209"/>
                  <a:pt x="296" y="209"/>
                </a:cubicBezTo>
                <a:cubicBezTo>
                  <a:pt x="291" y="209"/>
                  <a:pt x="287" y="205"/>
                  <a:pt x="287" y="200"/>
                </a:cubicBezTo>
                <a:close/>
                <a:moveTo>
                  <a:pt x="239" y="200"/>
                </a:moveTo>
                <a:cubicBezTo>
                  <a:pt x="239" y="195"/>
                  <a:pt x="243" y="191"/>
                  <a:pt x="248" y="191"/>
                </a:cubicBezTo>
                <a:cubicBezTo>
                  <a:pt x="248" y="191"/>
                  <a:pt x="248" y="191"/>
                  <a:pt x="248" y="191"/>
                </a:cubicBezTo>
                <a:cubicBezTo>
                  <a:pt x="253" y="191"/>
                  <a:pt x="257" y="195"/>
                  <a:pt x="257" y="200"/>
                </a:cubicBezTo>
                <a:cubicBezTo>
                  <a:pt x="257" y="200"/>
                  <a:pt x="257" y="200"/>
                  <a:pt x="257" y="200"/>
                </a:cubicBezTo>
                <a:cubicBezTo>
                  <a:pt x="257" y="205"/>
                  <a:pt x="253" y="209"/>
                  <a:pt x="248" y="209"/>
                </a:cubicBezTo>
                <a:cubicBezTo>
                  <a:pt x="248" y="209"/>
                  <a:pt x="248" y="209"/>
                  <a:pt x="248" y="209"/>
                </a:cubicBezTo>
                <a:cubicBezTo>
                  <a:pt x="243" y="209"/>
                  <a:pt x="239" y="205"/>
                  <a:pt x="239" y="200"/>
                </a:cubicBezTo>
                <a:close/>
                <a:moveTo>
                  <a:pt x="191" y="200"/>
                </a:moveTo>
                <a:cubicBezTo>
                  <a:pt x="191" y="195"/>
                  <a:pt x="195" y="191"/>
                  <a:pt x="200" y="191"/>
                </a:cubicBezTo>
                <a:cubicBezTo>
                  <a:pt x="200" y="191"/>
                  <a:pt x="200" y="191"/>
                  <a:pt x="200" y="191"/>
                </a:cubicBezTo>
                <a:cubicBezTo>
                  <a:pt x="205" y="191"/>
                  <a:pt x="209" y="195"/>
                  <a:pt x="209" y="200"/>
                </a:cubicBezTo>
                <a:cubicBezTo>
                  <a:pt x="209" y="200"/>
                  <a:pt x="209" y="200"/>
                  <a:pt x="209" y="200"/>
                </a:cubicBezTo>
                <a:cubicBezTo>
                  <a:pt x="209" y="205"/>
                  <a:pt x="205" y="209"/>
                  <a:pt x="200" y="209"/>
                </a:cubicBezTo>
                <a:cubicBezTo>
                  <a:pt x="200" y="209"/>
                  <a:pt x="200" y="209"/>
                  <a:pt x="200" y="209"/>
                </a:cubicBezTo>
                <a:cubicBezTo>
                  <a:pt x="195" y="209"/>
                  <a:pt x="191" y="205"/>
                  <a:pt x="191" y="200"/>
                </a:cubicBezTo>
                <a:close/>
                <a:moveTo>
                  <a:pt x="143" y="200"/>
                </a:moveTo>
                <a:cubicBezTo>
                  <a:pt x="143" y="195"/>
                  <a:pt x="147" y="191"/>
                  <a:pt x="152" y="191"/>
                </a:cubicBezTo>
                <a:cubicBezTo>
                  <a:pt x="152" y="191"/>
                  <a:pt x="152" y="191"/>
                  <a:pt x="152" y="191"/>
                </a:cubicBezTo>
                <a:cubicBezTo>
                  <a:pt x="157" y="191"/>
                  <a:pt x="161" y="195"/>
                  <a:pt x="161" y="200"/>
                </a:cubicBezTo>
                <a:cubicBezTo>
                  <a:pt x="161" y="200"/>
                  <a:pt x="161" y="200"/>
                  <a:pt x="161" y="200"/>
                </a:cubicBezTo>
                <a:cubicBezTo>
                  <a:pt x="161" y="205"/>
                  <a:pt x="157" y="209"/>
                  <a:pt x="152" y="209"/>
                </a:cubicBezTo>
                <a:cubicBezTo>
                  <a:pt x="152" y="209"/>
                  <a:pt x="152" y="209"/>
                  <a:pt x="152" y="209"/>
                </a:cubicBezTo>
                <a:cubicBezTo>
                  <a:pt x="147" y="209"/>
                  <a:pt x="143" y="205"/>
                  <a:pt x="143" y="200"/>
                </a:cubicBezTo>
                <a:close/>
                <a:moveTo>
                  <a:pt x="95" y="200"/>
                </a:moveTo>
                <a:cubicBezTo>
                  <a:pt x="95" y="195"/>
                  <a:pt x="99" y="191"/>
                  <a:pt x="104" y="191"/>
                </a:cubicBezTo>
                <a:cubicBezTo>
                  <a:pt x="104" y="191"/>
                  <a:pt x="104" y="191"/>
                  <a:pt x="104" y="191"/>
                </a:cubicBezTo>
                <a:cubicBezTo>
                  <a:pt x="109" y="191"/>
                  <a:pt x="113" y="195"/>
                  <a:pt x="113" y="200"/>
                </a:cubicBezTo>
                <a:cubicBezTo>
                  <a:pt x="113" y="200"/>
                  <a:pt x="113" y="200"/>
                  <a:pt x="113" y="200"/>
                </a:cubicBezTo>
                <a:cubicBezTo>
                  <a:pt x="113" y="205"/>
                  <a:pt x="109" y="209"/>
                  <a:pt x="104" y="209"/>
                </a:cubicBezTo>
                <a:cubicBezTo>
                  <a:pt x="104" y="209"/>
                  <a:pt x="104" y="209"/>
                  <a:pt x="104" y="209"/>
                </a:cubicBezTo>
                <a:cubicBezTo>
                  <a:pt x="99" y="209"/>
                  <a:pt x="95" y="205"/>
                  <a:pt x="95" y="200"/>
                </a:cubicBezTo>
                <a:close/>
                <a:moveTo>
                  <a:pt x="519" y="317"/>
                </a:moveTo>
                <a:cubicBezTo>
                  <a:pt x="670" y="166"/>
                  <a:pt x="670" y="166"/>
                  <a:pt x="670" y="166"/>
                </a:cubicBezTo>
                <a:cubicBezTo>
                  <a:pt x="672" y="165"/>
                  <a:pt x="673" y="162"/>
                  <a:pt x="673" y="160"/>
                </a:cubicBezTo>
                <a:cubicBezTo>
                  <a:pt x="673" y="158"/>
                  <a:pt x="672" y="155"/>
                  <a:pt x="670" y="154"/>
                </a:cubicBezTo>
                <a:cubicBezTo>
                  <a:pt x="519" y="3"/>
                  <a:pt x="519" y="3"/>
                  <a:pt x="519" y="3"/>
                </a:cubicBezTo>
                <a:cubicBezTo>
                  <a:pt x="517" y="0"/>
                  <a:pt x="513" y="0"/>
                  <a:pt x="510" y="1"/>
                </a:cubicBezTo>
                <a:cubicBezTo>
                  <a:pt x="506" y="2"/>
                  <a:pt x="504" y="6"/>
                  <a:pt x="504" y="9"/>
                </a:cubicBezTo>
                <a:cubicBezTo>
                  <a:pt x="505" y="112"/>
                  <a:pt x="505" y="112"/>
                  <a:pt x="505" y="112"/>
                </a:cubicBezTo>
                <a:cubicBezTo>
                  <a:pt x="234" y="112"/>
                  <a:pt x="234" y="112"/>
                  <a:pt x="234" y="112"/>
                </a:cubicBezTo>
                <a:cubicBezTo>
                  <a:pt x="229" y="112"/>
                  <a:pt x="225" y="116"/>
                  <a:pt x="225" y="121"/>
                </a:cubicBezTo>
                <a:cubicBezTo>
                  <a:pt x="225" y="126"/>
                  <a:pt x="229" y="130"/>
                  <a:pt x="234" y="130"/>
                </a:cubicBezTo>
                <a:cubicBezTo>
                  <a:pt x="514" y="130"/>
                  <a:pt x="514" y="130"/>
                  <a:pt x="514" y="130"/>
                </a:cubicBezTo>
                <a:cubicBezTo>
                  <a:pt x="516" y="130"/>
                  <a:pt x="519" y="129"/>
                  <a:pt x="520" y="128"/>
                </a:cubicBezTo>
                <a:cubicBezTo>
                  <a:pt x="522" y="126"/>
                  <a:pt x="523" y="124"/>
                  <a:pt x="523" y="121"/>
                </a:cubicBezTo>
                <a:cubicBezTo>
                  <a:pt x="522" y="31"/>
                  <a:pt x="522" y="31"/>
                  <a:pt x="522" y="31"/>
                </a:cubicBezTo>
                <a:cubicBezTo>
                  <a:pt x="651" y="160"/>
                  <a:pt x="651" y="160"/>
                  <a:pt x="651" y="160"/>
                </a:cubicBezTo>
                <a:cubicBezTo>
                  <a:pt x="522" y="289"/>
                  <a:pt x="522" y="289"/>
                  <a:pt x="522" y="289"/>
                </a:cubicBezTo>
                <a:cubicBezTo>
                  <a:pt x="523" y="200"/>
                  <a:pt x="523" y="200"/>
                  <a:pt x="523" y="200"/>
                </a:cubicBezTo>
                <a:cubicBezTo>
                  <a:pt x="523" y="198"/>
                  <a:pt x="522" y="195"/>
                  <a:pt x="520" y="194"/>
                </a:cubicBezTo>
                <a:cubicBezTo>
                  <a:pt x="518" y="192"/>
                  <a:pt x="516" y="191"/>
                  <a:pt x="514" y="191"/>
                </a:cubicBezTo>
                <a:cubicBezTo>
                  <a:pt x="328" y="191"/>
                  <a:pt x="328" y="191"/>
                  <a:pt x="328" y="191"/>
                </a:cubicBezTo>
                <a:cubicBezTo>
                  <a:pt x="323" y="191"/>
                  <a:pt x="319" y="195"/>
                  <a:pt x="319" y="200"/>
                </a:cubicBezTo>
                <a:cubicBezTo>
                  <a:pt x="319" y="205"/>
                  <a:pt x="323" y="209"/>
                  <a:pt x="328" y="209"/>
                </a:cubicBezTo>
                <a:cubicBezTo>
                  <a:pt x="505" y="209"/>
                  <a:pt x="505" y="209"/>
                  <a:pt x="505" y="209"/>
                </a:cubicBezTo>
                <a:cubicBezTo>
                  <a:pt x="504" y="311"/>
                  <a:pt x="504" y="311"/>
                  <a:pt x="504" y="311"/>
                </a:cubicBezTo>
                <a:cubicBezTo>
                  <a:pt x="504" y="314"/>
                  <a:pt x="506" y="318"/>
                  <a:pt x="510" y="319"/>
                </a:cubicBezTo>
                <a:cubicBezTo>
                  <a:pt x="511" y="319"/>
                  <a:pt x="512" y="320"/>
                  <a:pt x="513" y="320"/>
                </a:cubicBezTo>
                <a:cubicBezTo>
                  <a:pt x="515" y="320"/>
                  <a:pt x="518" y="319"/>
                  <a:pt x="519" y="317"/>
                </a:cubicBezTo>
                <a:close/>
              </a:path>
            </a:pathLst>
          </a:custGeom>
          <a:gradFill>
            <a:gsLst>
              <a:gs pos="0">
                <a:srgbClr val="2995A9"/>
              </a:gs>
              <a:gs pos="94000">
                <a:srgbClr val="1B005C"/>
              </a:gs>
            </a:gsLst>
            <a:path path="circle">
              <a:fillToRect l="100000" t="100000"/>
            </a:path>
          </a:gradFill>
          <a:ln>
            <a:noFill/>
          </a:ln>
        </xdr:spPr>
        <xdr:txBody>
          <a:bodyPr vert="horz" wrap="square" lIns="91440" tIns="45720" rIns="91440" bIns="45720" numCol="1" anchor="t" anchorCtr="0" compatLnSpc="1">
            <a:prstTxWarp prst="textNoShape">
              <a:avLst/>
            </a:prstTxWarp>
          </a:bodyPr>
          <a:lstStyle>
            <a:defPPr>
              <a:defRPr lang="en-US"/>
            </a:defPPr>
            <a:lvl1pPr marL="0" algn="l" defTabSz="586130" rtl="0" eaLnBrk="1" latinLnBrk="0" hangingPunct="1">
              <a:defRPr sz="2308" kern="1200">
                <a:solidFill>
                  <a:schemeClr val="tx1"/>
                </a:solidFill>
                <a:latin typeface="+mn-lt"/>
                <a:ea typeface="+mn-ea"/>
                <a:cs typeface="+mn-cs"/>
              </a:defRPr>
            </a:lvl1pPr>
            <a:lvl2pPr marL="586130" algn="l" defTabSz="586130" rtl="0" eaLnBrk="1" latinLnBrk="0" hangingPunct="1">
              <a:defRPr sz="2308" kern="1200">
                <a:solidFill>
                  <a:schemeClr val="tx1"/>
                </a:solidFill>
                <a:latin typeface="+mn-lt"/>
                <a:ea typeface="+mn-ea"/>
                <a:cs typeface="+mn-cs"/>
              </a:defRPr>
            </a:lvl2pPr>
            <a:lvl3pPr marL="1172261" algn="l" defTabSz="586130" rtl="0" eaLnBrk="1" latinLnBrk="0" hangingPunct="1">
              <a:defRPr sz="2308" kern="1200">
                <a:solidFill>
                  <a:schemeClr val="tx1"/>
                </a:solidFill>
                <a:latin typeface="+mn-lt"/>
                <a:ea typeface="+mn-ea"/>
                <a:cs typeface="+mn-cs"/>
              </a:defRPr>
            </a:lvl3pPr>
            <a:lvl4pPr marL="1758391" algn="l" defTabSz="586130" rtl="0" eaLnBrk="1" latinLnBrk="0" hangingPunct="1">
              <a:defRPr sz="2308" kern="1200">
                <a:solidFill>
                  <a:schemeClr val="tx1"/>
                </a:solidFill>
                <a:latin typeface="+mn-lt"/>
                <a:ea typeface="+mn-ea"/>
                <a:cs typeface="+mn-cs"/>
              </a:defRPr>
            </a:lvl4pPr>
            <a:lvl5pPr marL="2344522" algn="l" defTabSz="586130" rtl="0" eaLnBrk="1" latinLnBrk="0" hangingPunct="1">
              <a:defRPr sz="2308" kern="1200">
                <a:solidFill>
                  <a:schemeClr val="tx1"/>
                </a:solidFill>
                <a:latin typeface="+mn-lt"/>
                <a:ea typeface="+mn-ea"/>
                <a:cs typeface="+mn-cs"/>
              </a:defRPr>
            </a:lvl5pPr>
            <a:lvl6pPr marL="2930652" algn="l" defTabSz="586130" rtl="0" eaLnBrk="1" latinLnBrk="0" hangingPunct="1">
              <a:defRPr sz="2308" kern="1200">
                <a:solidFill>
                  <a:schemeClr val="tx1"/>
                </a:solidFill>
                <a:latin typeface="+mn-lt"/>
                <a:ea typeface="+mn-ea"/>
                <a:cs typeface="+mn-cs"/>
              </a:defRPr>
            </a:lvl6pPr>
            <a:lvl7pPr marL="3516782" algn="l" defTabSz="586130" rtl="0" eaLnBrk="1" latinLnBrk="0" hangingPunct="1">
              <a:defRPr sz="2308" kern="1200">
                <a:solidFill>
                  <a:schemeClr val="tx1"/>
                </a:solidFill>
                <a:latin typeface="+mn-lt"/>
                <a:ea typeface="+mn-ea"/>
                <a:cs typeface="+mn-cs"/>
              </a:defRPr>
            </a:lvl7pPr>
            <a:lvl8pPr marL="4102913" algn="l" defTabSz="586130" rtl="0" eaLnBrk="1" latinLnBrk="0" hangingPunct="1">
              <a:defRPr sz="2308" kern="1200">
                <a:solidFill>
                  <a:schemeClr val="tx1"/>
                </a:solidFill>
                <a:latin typeface="+mn-lt"/>
                <a:ea typeface="+mn-ea"/>
                <a:cs typeface="+mn-cs"/>
              </a:defRPr>
            </a:lvl8pPr>
            <a:lvl9pPr marL="4689043" algn="l" defTabSz="586130" rtl="0" eaLnBrk="1" latinLnBrk="0" hangingPunct="1">
              <a:defRPr sz="2308" kern="1200">
                <a:solidFill>
                  <a:schemeClr val="tx1"/>
                </a:solidFill>
                <a:latin typeface="+mn-lt"/>
                <a:ea typeface="+mn-ea"/>
                <a:cs typeface="+mn-cs"/>
              </a:defRPr>
            </a:lvl9pPr>
          </a:lstStyle>
          <a:p>
            <a:endParaRPr 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2337435</xdr:colOff>
      <xdr:row>1</xdr:row>
      <xdr:rowOff>5715</xdr:rowOff>
    </xdr:to>
    <xdr:grpSp>
      <xdr:nvGrpSpPr>
        <xdr:cNvPr id="12" name="Group 11">
          <a:extLst>
            <a:ext uri="{FF2B5EF4-FFF2-40B4-BE49-F238E27FC236}">
              <a16:creationId xmlns:a16="http://schemas.microsoft.com/office/drawing/2014/main" id="{00000000-0008-0000-0200-00000C000000}"/>
            </a:ext>
          </a:extLst>
        </xdr:cNvPr>
        <xdr:cNvGrpSpPr/>
      </xdr:nvGrpSpPr>
      <xdr:grpSpPr>
        <a:xfrm>
          <a:off x="0" y="0"/>
          <a:ext cx="9509760" cy="729615"/>
          <a:chOff x="9524" y="0"/>
          <a:chExt cx="9511000" cy="731742"/>
        </a:xfrm>
      </xdr:grpSpPr>
      <xdr:pic>
        <xdr:nvPicPr>
          <xdr:cNvPr id="13" name="Picture 12">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74973" y="0"/>
            <a:ext cx="1646135" cy="559916"/>
          </a:xfrm>
          <a:prstGeom prst="rect">
            <a:avLst/>
          </a:prstGeom>
        </xdr:spPr>
      </xdr:pic>
      <xdr:pic>
        <xdr:nvPicPr>
          <xdr:cNvPr id="14" name="Picture 13">
            <a:extLst>
              <a:ext uri="{FF2B5EF4-FFF2-40B4-BE49-F238E27FC236}">
                <a16:creationId xmlns:a16="http://schemas.microsoft.com/office/drawing/2014/main" id="{00000000-0008-0000-0200-00000E00000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4" y="640302"/>
            <a:ext cx="9511000" cy="91440"/>
          </a:xfrm>
          <a:prstGeom prst="rect">
            <a:avLst/>
          </a:prstGeom>
        </xdr:spPr>
      </xdr:pic>
      <xdr:pic>
        <xdr:nvPicPr>
          <xdr:cNvPr id="15" name="Picture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90500" y="0"/>
            <a:ext cx="1646063" cy="548688"/>
          </a:xfrm>
          <a:prstGeom prst="rect">
            <a:avLst/>
          </a:prstGeom>
        </xdr:spPr>
      </xdr:pic>
    </xdr:grpSp>
    <xdr:clientData/>
  </xdr:twoCellAnchor>
  <xdr:twoCellAnchor editAs="absolute">
    <xdr:from>
      <xdr:col>7</xdr:col>
      <xdr:colOff>9525</xdr:colOff>
      <xdr:row>1</xdr:row>
      <xdr:rowOff>0</xdr:rowOff>
    </xdr:from>
    <xdr:to>
      <xdr:col>7</xdr:col>
      <xdr:colOff>1838325</xdr:colOff>
      <xdr:row>6</xdr:row>
      <xdr:rowOff>213360</xdr:rowOff>
    </xdr:to>
    <xdr:grpSp>
      <xdr:nvGrpSpPr>
        <xdr:cNvPr id="25" name="Group 24">
          <a:extLst>
            <a:ext uri="{FF2B5EF4-FFF2-40B4-BE49-F238E27FC236}">
              <a16:creationId xmlns:a16="http://schemas.microsoft.com/office/drawing/2014/main" id="{00000000-0008-0000-0200-000019000000}"/>
            </a:ext>
          </a:extLst>
        </xdr:cNvPr>
        <xdr:cNvGrpSpPr/>
      </xdr:nvGrpSpPr>
      <xdr:grpSpPr>
        <a:xfrm>
          <a:off x="9648825" y="723900"/>
          <a:ext cx="1828800" cy="1280160"/>
          <a:chOff x="9691574" y="1371600"/>
          <a:chExt cx="1828800" cy="1280160"/>
        </a:xfrm>
        <a:effectLst>
          <a:outerShdw blurRad="50800" dist="38100" dir="2700000" algn="tl" rotWithShape="0">
            <a:prstClr val="black">
              <a:alpha val="40000"/>
            </a:prstClr>
          </a:outerShdw>
        </a:effectLst>
      </xdr:grpSpPr>
      <xdr:sp macro="[0]!ThisWorkbook.ReqFieldCheckandEmail" textlink="">
        <xdr:nvSpPr>
          <xdr:cNvPr id="26" name="Round Diagonal Corner Rectangle 25">
            <a:extLst>
              <a:ext uri="{FF2B5EF4-FFF2-40B4-BE49-F238E27FC236}">
                <a16:creationId xmlns:a16="http://schemas.microsoft.com/office/drawing/2014/main" id="{00000000-0008-0000-0200-00001A000000}"/>
              </a:ext>
            </a:extLst>
          </xdr:cNvPr>
          <xdr:cNvSpPr>
            <a:spLocks/>
          </xdr:cNvSpPr>
        </xdr:nvSpPr>
        <xdr:spPr>
          <a:xfrm>
            <a:off x="9691574" y="1371600"/>
            <a:ext cx="1828800" cy="1280160"/>
          </a:xfrm>
          <a:prstGeom prst="round2DiagRect">
            <a:avLst/>
          </a:prstGeom>
          <a:gradFill>
            <a:gsLst>
              <a:gs pos="0">
                <a:srgbClr val="F5F5F5"/>
              </a:gs>
              <a:gs pos="50000">
                <a:srgbClr val="EFEFEF"/>
              </a:gs>
              <a:gs pos="100000">
                <a:srgbClr val="E8E8E8"/>
              </a:gs>
            </a:gsLst>
            <a:lin ang="5400000" scaled="1"/>
          </a:gra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nchorCtr="0"/>
          <a:lstStyle>
            <a:defPPr>
              <a:defRPr lang="en-US"/>
            </a:defPPr>
            <a:lvl1pPr marL="0" algn="l" defTabSz="586130" rtl="0" eaLnBrk="1" latinLnBrk="0" hangingPunct="1">
              <a:defRPr sz="2308" kern="1200">
                <a:solidFill>
                  <a:srgbClr val="FFFFFF"/>
                </a:solidFill>
                <a:latin typeface="Wells Fargo Sans"/>
              </a:defRPr>
            </a:lvl1pPr>
            <a:lvl2pPr marL="586130" algn="l" defTabSz="586130" rtl="0" eaLnBrk="1" latinLnBrk="0" hangingPunct="1">
              <a:defRPr sz="2308" kern="1200">
                <a:solidFill>
                  <a:srgbClr val="FFFFFF"/>
                </a:solidFill>
                <a:latin typeface="Wells Fargo Sans"/>
              </a:defRPr>
            </a:lvl2pPr>
            <a:lvl3pPr marL="1172261" algn="l" defTabSz="586130" rtl="0" eaLnBrk="1" latinLnBrk="0" hangingPunct="1">
              <a:defRPr sz="2308" kern="1200">
                <a:solidFill>
                  <a:srgbClr val="FFFFFF"/>
                </a:solidFill>
                <a:latin typeface="Wells Fargo Sans"/>
              </a:defRPr>
            </a:lvl3pPr>
            <a:lvl4pPr marL="1758391" algn="l" defTabSz="586130" rtl="0" eaLnBrk="1" latinLnBrk="0" hangingPunct="1">
              <a:defRPr sz="2308" kern="1200">
                <a:solidFill>
                  <a:srgbClr val="FFFFFF"/>
                </a:solidFill>
                <a:latin typeface="Wells Fargo Sans"/>
              </a:defRPr>
            </a:lvl4pPr>
            <a:lvl5pPr marL="2344522" algn="l" defTabSz="586130" rtl="0" eaLnBrk="1" latinLnBrk="0" hangingPunct="1">
              <a:defRPr sz="2308" kern="1200">
                <a:solidFill>
                  <a:srgbClr val="FFFFFF"/>
                </a:solidFill>
                <a:latin typeface="Wells Fargo Sans"/>
              </a:defRPr>
            </a:lvl5pPr>
            <a:lvl6pPr marL="2930652" algn="l" defTabSz="586130" rtl="0" eaLnBrk="1" latinLnBrk="0" hangingPunct="1">
              <a:defRPr sz="2308" kern="1200">
                <a:solidFill>
                  <a:srgbClr val="FFFFFF"/>
                </a:solidFill>
                <a:latin typeface="Wells Fargo Sans"/>
              </a:defRPr>
            </a:lvl6pPr>
            <a:lvl7pPr marL="3516782" algn="l" defTabSz="586130" rtl="0" eaLnBrk="1" latinLnBrk="0" hangingPunct="1">
              <a:defRPr sz="2308" kern="1200">
                <a:solidFill>
                  <a:srgbClr val="FFFFFF"/>
                </a:solidFill>
                <a:latin typeface="Wells Fargo Sans"/>
              </a:defRPr>
            </a:lvl7pPr>
            <a:lvl8pPr marL="4102913" algn="l" defTabSz="586130" rtl="0" eaLnBrk="1" latinLnBrk="0" hangingPunct="1">
              <a:defRPr sz="2308" kern="1200">
                <a:solidFill>
                  <a:srgbClr val="FFFFFF"/>
                </a:solidFill>
                <a:latin typeface="Wells Fargo Sans"/>
              </a:defRPr>
            </a:lvl8pPr>
            <a:lvl9pPr marL="4689043" algn="l" defTabSz="586130" rtl="0" eaLnBrk="1" latinLnBrk="0" hangingPunct="1">
              <a:defRPr sz="2308" kern="1200">
                <a:solidFill>
                  <a:srgbClr val="FFFFFF"/>
                </a:solidFill>
                <a:latin typeface="Wells Fargo Sans"/>
              </a:defRPr>
            </a:lvl9pPr>
          </a:lstStyle>
          <a:p>
            <a:pPr lvl="0" defTabSz="914400">
              <a:defRPr/>
            </a:pPr>
            <a:r>
              <a:rPr lang="en-US" sz="1400" kern="0">
                <a:solidFill>
                  <a:srgbClr val="4D4D4D"/>
                </a:solidFill>
                <a:latin typeface="Wells Fargo Sans Light" panose="020B0403020203020204" pitchFamily="34" charset="0"/>
              </a:rPr>
              <a:t>When complete, </a:t>
            </a:r>
            <a:br>
              <a:rPr lang="en-US" sz="1400" kern="0">
                <a:solidFill>
                  <a:srgbClr val="4D4D4D"/>
                </a:solidFill>
                <a:latin typeface="Wells Fargo Sans Light" panose="020B0403020203020204" pitchFamily="34" charset="0"/>
              </a:rPr>
            </a:br>
            <a:r>
              <a:rPr lang="en-US" sz="1400" kern="0">
                <a:solidFill>
                  <a:srgbClr val="4D4D4D"/>
                </a:solidFill>
                <a:latin typeface="Wells Fargo Sans Light" panose="020B0403020203020204" pitchFamily="34" charset="0"/>
              </a:rPr>
              <a:t>simply </a:t>
            </a:r>
            <a:br>
              <a:rPr lang="en-US" sz="1400" kern="0">
                <a:solidFill>
                  <a:srgbClr val="4D4D4D"/>
                </a:solidFill>
                <a:latin typeface="Wells Fargo Sans Light" panose="020B0403020203020204" pitchFamily="34" charset="0"/>
              </a:rPr>
            </a:br>
            <a:r>
              <a:rPr lang="en-US" sz="1400" kern="0">
                <a:solidFill>
                  <a:srgbClr val="4D4D4D"/>
                </a:solidFill>
                <a:latin typeface="Wells Fargo Sans Light" panose="020B0403020203020204" pitchFamily="34" charset="0"/>
              </a:rPr>
              <a:t>click to </a:t>
            </a:r>
            <a:br>
              <a:rPr lang="en-US" sz="1400" kern="0">
                <a:solidFill>
                  <a:srgbClr val="4D4D4D"/>
                </a:solidFill>
                <a:latin typeface="Wells Fargo Sans Light" panose="020B0403020203020204" pitchFamily="34" charset="0"/>
              </a:rPr>
            </a:br>
            <a:r>
              <a:rPr lang="en-US" sz="1400" kern="0">
                <a:solidFill>
                  <a:srgbClr val="4D4D4D"/>
                </a:solidFill>
                <a:latin typeface="Wells Fargo Sans Light" panose="020B0403020203020204" pitchFamily="34" charset="0"/>
              </a:rPr>
              <a:t>email to</a:t>
            </a:r>
          </a:p>
          <a:p>
            <a:pPr lvl="0" defTabSz="914400">
              <a:tabLst>
                <a:tab pos="57150" algn="l"/>
              </a:tabLst>
              <a:defRPr/>
            </a:pPr>
            <a:r>
              <a:rPr lang="en-US" sz="1400" kern="0" spc="-50">
                <a:solidFill>
                  <a:srgbClr val="1D6A95"/>
                </a:solidFill>
                <a:effectLst>
                  <a:outerShdw blurRad="38100" dist="25400" dir="2700000" algn="tl">
                    <a:srgbClr val="4D4D4D">
                      <a:alpha val="43000"/>
                    </a:srgbClr>
                  </a:outerShdw>
                </a:effectLst>
                <a:latin typeface="Wells Fargo Sans SemiBold"/>
              </a:rPr>
              <a:t>SMA Customization</a:t>
            </a:r>
            <a:endParaRPr lang="en-US" sz="1400" spc="-50">
              <a:solidFill>
                <a:srgbClr val="FFFFFF"/>
              </a:solidFill>
              <a:latin typeface="Wells Fargo Sans SemiBold"/>
            </a:endParaRPr>
          </a:p>
        </xdr:txBody>
      </xdr:sp>
      <xdr:sp macro="[0]!Sheet1.ReqFieldCheckAndEmail" textlink="">
        <xdr:nvSpPr>
          <xdr:cNvPr id="27" name="Freeform 26">
            <a:extLst>
              <a:ext uri="{FF2B5EF4-FFF2-40B4-BE49-F238E27FC236}">
                <a16:creationId xmlns:a16="http://schemas.microsoft.com/office/drawing/2014/main" id="{00000000-0008-0000-0200-00001B000000}"/>
              </a:ext>
            </a:extLst>
          </xdr:cNvPr>
          <xdr:cNvSpPr>
            <a:spLocks noChangeAspect="1" noEditPoints="1"/>
          </xdr:cNvSpPr>
        </xdr:nvSpPr>
        <xdr:spPr bwMode="auto">
          <a:xfrm>
            <a:off x="10515600" y="1764945"/>
            <a:ext cx="914400" cy="493471"/>
          </a:xfrm>
          <a:custGeom>
            <a:avLst/>
            <a:gdLst>
              <a:gd name="T0" fmla="*/ 576 w 576"/>
              <a:gd name="T1" fmla="*/ 8 h 316"/>
              <a:gd name="T2" fmla="*/ 575 w 576"/>
              <a:gd name="T3" fmla="*/ 6 h 316"/>
              <a:gd name="T4" fmla="*/ 575 w 576"/>
              <a:gd name="T5" fmla="*/ 5 h 316"/>
              <a:gd name="T6" fmla="*/ 574 w 576"/>
              <a:gd name="T7" fmla="*/ 4 h 316"/>
              <a:gd name="T8" fmla="*/ 573 w 576"/>
              <a:gd name="T9" fmla="*/ 3 h 316"/>
              <a:gd name="T10" fmla="*/ 572 w 576"/>
              <a:gd name="T11" fmla="*/ 2 h 316"/>
              <a:gd name="T12" fmla="*/ 570 w 576"/>
              <a:gd name="T13" fmla="*/ 1 h 316"/>
              <a:gd name="T14" fmla="*/ 569 w 576"/>
              <a:gd name="T15" fmla="*/ 0 h 316"/>
              <a:gd name="T16" fmla="*/ 567 w 576"/>
              <a:gd name="T17" fmla="*/ 0 h 316"/>
              <a:gd name="T18" fmla="*/ 174 w 576"/>
              <a:gd name="T19" fmla="*/ 0 h 316"/>
              <a:gd name="T20" fmla="*/ 173 w 576"/>
              <a:gd name="T21" fmla="*/ 1 h 316"/>
              <a:gd name="T22" fmla="*/ 171 w 576"/>
              <a:gd name="T23" fmla="*/ 1 h 316"/>
              <a:gd name="T24" fmla="*/ 170 w 576"/>
              <a:gd name="T25" fmla="*/ 2 h 316"/>
              <a:gd name="T26" fmla="*/ 168 w 576"/>
              <a:gd name="T27" fmla="*/ 3 h 316"/>
              <a:gd name="T28" fmla="*/ 168 w 576"/>
              <a:gd name="T29" fmla="*/ 4 h 316"/>
              <a:gd name="T30" fmla="*/ 167 w 576"/>
              <a:gd name="T31" fmla="*/ 6 h 316"/>
              <a:gd name="T32" fmla="*/ 166 w 576"/>
              <a:gd name="T33" fmla="*/ 7 h 316"/>
              <a:gd name="T34" fmla="*/ 166 w 576"/>
              <a:gd name="T35" fmla="*/ 9 h 316"/>
              <a:gd name="T36" fmla="*/ 166 w 576"/>
              <a:gd name="T37" fmla="*/ 307 h 316"/>
              <a:gd name="T38" fmla="*/ 567 w 576"/>
              <a:gd name="T39" fmla="*/ 316 h 316"/>
              <a:gd name="T40" fmla="*/ 576 w 576"/>
              <a:gd name="T41" fmla="*/ 9 h 316"/>
              <a:gd name="T42" fmla="*/ 371 w 576"/>
              <a:gd name="T43" fmla="*/ 147 h 316"/>
              <a:gd name="T44" fmla="*/ 540 w 576"/>
              <a:gd name="T45" fmla="*/ 18 h 316"/>
              <a:gd name="T46" fmla="*/ 184 w 576"/>
              <a:gd name="T47" fmla="*/ 298 h 316"/>
              <a:gd name="T48" fmla="*/ 366 w 576"/>
              <a:gd name="T49" fmla="*/ 165 h 316"/>
              <a:gd name="T50" fmla="*/ 367 w 576"/>
              <a:gd name="T51" fmla="*/ 166 h 316"/>
              <a:gd name="T52" fmla="*/ 369 w 576"/>
              <a:gd name="T53" fmla="*/ 167 h 316"/>
              <a:gd name="T54" fmla="*/ 371 w 576"/>
              <a:gd name="T55" fmla="*/ 167 h 316"/>
              <a:gd name="T56" fmla="*/ 373 w 576"/>
              <a:gd name="T57" fmla="*/ 167 h 316"/>
              <a:gd name="T58" fmla="*/ 375 w 576"/>
              <a:gd name="T59" fmla="*/ 166 h 316"/>
              <a:gd name="T60" fmla="*/ 376 w 576"/>
              <a:gd name="T61" fmla="*/ 165 h 316"/>
              <a:gd name="T62" fmla="*/ 558 w 576"/>
              <a:gd name="T63" fmla="*/ 298 h 316"/>
              <a:gd name="T64" fmla="*/ 104 w 576"/>
              <a:gd name="T65" fmla="*/ 167 h 316"/>
              <a:gd name="T66" fmla="*/ 0 w 576"/>
              <a:gd name="T67" fmla="*/ 158 h 316"/>
              <a:gd name="T68" fmla="*/ 104 w 576"/>
              <a:gd name="T69" fmla="*/ 149 h 316"/>
              <a:gd name="T70" fmla="*/ 104 w 576"/>
              <a:gd name="T71" fmla="*/ 167 h 316"/>
              <a:gd name="T72" fmla="*/ 121 w 576"/>
              <a:gd name="T73" fmla="*/ 112 h 316"/>
              <a:gd name="T74" fmla="*/ 30 w 576"/>
              <a:gd name="T75" fmla="*/ 103 h 316"/>
              <a:gd name="T76" fmla="*/ 121 w 576"/>
              <a:gd name="T77" fmla="*/ 94 h 316"/>
              <a:gd name="T78" fmla="*/ 130 w 576"/>
              <a:gd name="T79" fmla="*/ 213 h 316"/>
              <a:gd name="T80" fmla="*/ 39 w 576"/>
              <a:gd name="T81" fmla="*/ 222 h 316"/>
              <a:gd name="T82" fmla="*/ 39 w 576"/>
              <a:gd name="T83" fmla="*/ 204 h 316"/>
              <a:gd name="T84" fmla="*/ 130 w 576"/>
              <a:gd name="T85" fmla="*/ 213 h 31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Lst>
            <a:rect l="0" t="0" r="r" b="b"/>
            <a:pathLst>
              <a:path w="576" h="316">
                <a:moveTo>
                  <a:pt x="576" y="9"/>
                </a:moveTo>
                <a:cubicBezTo>
                  <a:pt x="576" y="9"/>
                  <a:pt x="576" y="8"/>
                  <a:pt x="576" y="8"/>
                </a:cubicBezTo>
                <a:cubicBezTo>
                  <a:pt x="576" y="8"/>
                  <a:pt x="576" y="8"/>
                  <a:pt x="576" y="7"/>
                </a:cubicBezTo>
                <a:cubicBezTo>
                  <a:pt x="576" y="7"/>
                  <a:pt x="576" y="7"/>
                  <a:pt x="575" y="6"/>
                </a:cubicBezTo>
                <a:cubicBezTo>
                  <a:pt x="575" y="6"/>
                  <a:pt x="575" y="6"/>
                  <a:pt x="575" y="6"/>
                </a:cubicBezTo>
                <a:cubicBezTo>
                  <a:pt x="575" y="5"/>
                  <a:pt x="575" y="5"/>
                  <a:pt x="575" y="5"/>
                </a:cubicBezTo>
                <a:cubicBezTo>
                  <a:pt x="575" y="5"/>
                  <a:pt x="574" y="4"/>
                  <a:pt x="574" y="4"/>
                </a:cubicBezTo>
                <a:cubicBezTo>
                  <a:pt x="574" y="4"/>
                  <a:pt x="574" y="4"/>
                  <a:pt x="574" y="4"/>
                </a:cubicBezTo>
                <a:cubicBezTo>
                  <a:pt x="574" y="4"/>
                  <a:pt x="574" y="4"/>
                  <a:pt x="574" y="3"/>
                </a:cubicBezTo>
                <a:cubicBezTo>
                  <a:pt x="574" y="3"/>
                  <a:pt x="573" y="3"/>
                  <a:pt x="573" y="3"/>
                </a:cubicBezTo>
                <a:cubicBezTo>
                  <a:pt x="573" y="3"/>
                  <a:pt x="573" y="2"/>
                  <a:pt x="572" y="2"/>
                </a:cubicBezTo>
                <a:cubicBezTo>
                  <a:pt x="572" y="2"/>
                  <a:pt x="572" y="2"/>
                  <a:pt x="572" y="2"/>
                </a:cubicBezTo>
                <a:cubicBezTo>
                  <a:pt x="571" y="2"/>
                  <a:pt x="571" y="1"/>
                  <a:pt x="571" y="1"/>
                </a:cubicBezTo>
                <a:cubicBezTo>
                  <a:pt x="571" y="1"/>
                  <a:pt x="570" y="1"/>
                  <a:pt x="570" y="1"/>
                </a:cubicBezTo>
                <a:cubicBezTo>
                  <a:pt x="570" y="1"/>
                  <a:pt x="570" y="1"/>
                  <a:pt x="569" y="1"/>
                </a:cubicBezTo>
                <a:cubicBezTo>
                  <a:pt x="569" y="1"/>
                  <a:pt x="569" y="1"/>
                  <a:pt x="569" y="0"/>
                </a:cubicBezTo>
                <a:cubicBezTo>
                  <a:pt x="568" y="0"/>
                  <a:pt x="568" y="0"/>
                  <a:pt x="568" y="0"/>
                </a:cubicBezTo>
                <a:cubicBezTo>
                  <a:pt x="567" y="0"/>
                  <a:pt x="567" y="0"/>
                  <a:pt x="567" y="0"/>
                </a:cubicBezTo>
                <a:cubicBezTo>
                  <a:pt x="175" y="0"/>
                  <a:pt x="175" y="0"/>
                  <a:pt x="175" y="0"/>
                </a:cubicBezTo>
                <a:cubicBezTo>
                  <a:pt x="175" y="0"/>
                  <a:pt x="175" y="0"/>
                  <a:pt x="174" y="0"/>
                </a:cubicBezTo>
                <a:cubicBezTo>
                  <a:pt x="174" y="0"/>
                  <a:pt x="174" y="0"/>
                  <a:pt x="173" y="0"/>
                </a:cubicBezTo>
                <a:cubicBezTo>
                  <a:pt x="173" y="1"/>
                  <a:pt x="173" y="1"/>
                  <a:pt x="173" y="1"/>
                </a:cubicBezTo>
                <a:cubicBezTo>
                  <a:pt x="172" y="1"/>
                  <a:pt x="172" y="1"/>
                  <a:pt x="172" y="1"/>
                </a:cubicBezTo>
                <a:cubicBezTo>
                  <a:pt x="172" y="1"/>
                  <a:pt x="171" y="1"/>
                  <a:pt x="171" y="1"/>
                </a:cubicBezTo>
                <a:cubicBezTo>
                  <a:pt x="171" y="1"/>
                  <a:pt x="170" y="2"/>
                  <a:pt x="170" y="2"/>
                </a:cubicBezTo>
                <a:cubicBezTo>
                  <a:pt x="170" y="2"/>
                  <a:pt x="170" y="2"/>
                  <a:pt x="170" y="2"/>
                </a:cubicBezTo>
                <a:cubicBezTo>
                  <a:pt x="169" y="2"/>
                  <a:pt x="169" y="3"/>
                  <a:pt x="169" y="3"/>
                </a:cubicBezTo>
                <a:cubicBezTo>
                  <a:pt x="169" y="3"/>
                  <a:pt x="168" y="3"/>
                  <a:pt x="168" y="3"/>
                </a:cubicBezTo>
                <a:cubicBezTo>
                  <a:pt x="168" y="4"/>
                  <a:pt x="168" y="4"/>
                  <a:pt x="168" y="4"/>
                </a:cubicBezTo>
                <a:cubicBezTo>
                  <a:pt x="168" y="4"/>
                  <a:pt x="168" y="4"/>
                  <a:pt x="168" y="4"/>
                </a:cubicBezTo>
                <a:cubicBezTo>
                  <a:pt x="167" y="4"/>
                  <a:pt x="167" y="5"/>
                  <a:pt x="167" y="5"/>
                </a:cubicBezTo>
                <a:cubicBezTo>
                  <a:pt x="167" y="5"/>
                  <a:pt x="167" y="5"/>
                  <a:pt x="167" y="6"/>
                </a:cubicBezTo>
                <a:cubicBezTo>
                  <a:pt x="167" y="6"/>
                  <a:pt x="167" y="6"/>
                  <a:pt x="166" y="6"/>
                </a:cubicBezTo>
                <a:cubicBezTo>
                  <a:pt x="166" y="7"/>
                  <a:pt x="166" y="7"/>
                  <a:pt x="166" y="7"/>
                </a:cubicBezTo>
                <a:cubicBezTo>
                  <a:pt x="166" y="8"/>
                  <a:pt x="166" y="8"/>
                  <a:pt x="166" y="8"/>
                </a:cubicBezTo>
                <a:cubicBezTo>
                  <a:pt x="166" y="8"/>
                  <a:pt x="166" y="9"/>
                  <a:pt x="166" y="9"/>
                </a:cubicBezTo>
                <a:cubicBezTo>
                  <a:pt x="166" y="9"/>
                  <a:pt x="166" y="9"/>
                  <a:pt x="166" y="9"/>
                </a:cubicBezTo>
                <a:cubicBezTo>
                  <a:pt x="166" y="307"/>
                  <a:pt x="166" y="307"/>
                  <a:pt x="166" y="307"/>
                </a:cubicBezTo>
                <a:cubicBezTo>
                  <a:pt x="166" y="312"/>
                  <a:pt x="170" y="316"/>
                  <a:pt x="175" y="316"/>
                </a:cubicBezTo>
                <a:cubicBezTo>
                  <a:pt x="567" y="316"/>
                  <a:pt x="567" y="316"/>
                  <a:pt x="567" y="316"/>
                </a:cubicBezTo>
                <a:cubicBezTo>
                  <a:pt x="572" y="316"/>
                  <a:pt x="576" y="312"/>
                  <a:pt x="576" y="307"/>
                </a:cubicBezTo>
                <a:cubicBezTo>
                  <a:pt x="576" y="9"/>
                  <a:pt x="576" y="9"/>
                  <a:pt x="576" y="9"/>
                </a:cubicBezTo>
                <a:cubicBezTo>
                  <a:pt x="576" y="9"/>
                  <a:pt x="576" y="9"/>
                  <a:pt x="576" y="9"/>
                </a:cubicBezTo>
                <a:close/>
                <a:moveTo>
                  <a:pt x="371" y="147"/>
                </a:moveTo>
                <a:cubicBezTo>
                  <a:pt x="202" y="18"/>
                  <a:pt x="202" y="18"/>
                  <a:pt x="202" y="18"/>
                </a:cubicBezTo>
                <a:cubicBezTo>
                  <a:pt x="540" y="18"/>
                  <a:pt x="540" y="18"/>
                  <a:pt x="540" y="18"/>
                </a:cubicBezTo>
                <a:lnTo>
                  <a:pt x="371" y="147"/>
                </a:lnTo>
                <a:close/>
                <a:moveTo>
                  <a:pt x="184" y="298"/>
                </a:moveTo>
                <a:cubicBezTo>
                  <a:pt x="184" y="27"/>
                  <a:pt x="184" y="27"/>
                  <a:pt x="184" y="27"/>
                </a:cubicBezTo>
                <a:cubicBezTo>
                  <a:pt x="366" y="165"/>
                  <a:pt x="366" y="165"/>
                  <a:pt x="366" y="165"/>
                </a:cubicBezTo>
                <a:cubicBezTo>
                  <a:pt x="366" y="166"/>
                  <a:pt x="366" y="166"/>
                  <a:pt x="367" y="166"/>
                </a:cubicBezTo>
                <a:cubicBezTo>
                  <a:pt x="367" y="166"/>
                  <a:pt x="367" y="166"/>
                  <a:pt x="367" y="166"/>
                </a:cubicBezTo>
                <a:cubicBezTo>
                  <a:pt x="368" y="166"/>
                  <a:pt x="368" y="167"/>
                  <a:pt x="369" y="167"/>
                </a:cubicBezTo>
                <a:cubicBezTo>
                  <a:pt x="369" y="167"/>
                  <a:pt x="369" y="167"/>
                  <a:pt x="369" y="167"/>
                </a:cubicBezTo>
                <a:cubicBezTo>
                  <a:pt x="370" y="167"/>
                  <a:pt x="370" y="167"/>
                  <a:pt x="371" y="167"/>
                </a:cubicBezTo>
                <a:cubicBezTo>
                  <a:pt x="371" y="167"/>
                  <a:pt x="371" y="167"/>
                  <a:pt x="371" y="167"/>
                </a:cubicBezTo>
                <a:cubicBezTo>
                  <a:pt x="371" y="167"/>
                  <a:pt x="371" y="167"/>
                  <a:pt x="371" y="167"/>
                </a:cubicBezTo>
                <a:cubicBezTo>
                  <a:pt x="372" y="167"/>
                  <a:pt x="372" y="167"/>
                  <a:pt x="373" y="167"/>
                </a:cubicBezTo>
                <a:cubicBezTo>
                  <a:pt x="373" y="167"/>
                  <a:pt x="373" y="167"/>
                  <a:pt x="373" y="167"/>
                </a:cubicBezTo>
                <a:cubicBezTo>
                  <a:pt x="374" y="167"/>
                  <a:pt x="374" y="166"/>
                  <a:pt x="375" y="166"/>
                </a:cubicBezTo>
                <a:cubicBezTo>
                  <a:pt x="375" y="166"/>
                  <a:pt x="375" y="166"/>
                  <a:pt x="375" y="166"/>
                </a:cubicBezTo>
                <a:cubicBezTo>
                  <a:pt x="375" y="166"/>
                  <a:pt x="376" y="166"/>
                  <a:pt x="376" y="165"/>
                </a:cubicBezTo>
                <a:cubicBezTo>
                  <a:pt x="558" y="27"/>
                  <a:pt x="558" y="27"/>
                  <a:pt x="558" y="27"/>
                </a:cubicBezTo>
                <a:cubicBezTo>
                  <a:pt x="558" y="298"/>
                  <a:pt x="558" y="298"/>
                  <a:pt x="558" y="298"/>
                </a:cubicBezTo>
                <a:lnTo>
                  <a:pt x="184" y="298"/>
                </a:lnTo>
                <a:close/>
                <a:moveTo>
                  <a:pt x="104" y="167"/>
                </a:moveTo>
                <a:cubicBezTo>
                  <a:pt x="9" y="167"/>
                  <a:pt x="9" y="167"/>
                  <a:pt x="9" y="167"/>
                </a:cubicBezTo>
                <a:cubicBezTo>
                  <a:pt x="4" y="167"/>
                  <a:pt x="0" y="163"/>
                  <a:pt x="0" y="158"/>
                </a:cubicBezTo>
                <a:cubicBezTo>
                  <a:pt x="0" y="153"/>
                  <a:pt x="4" y="149"/>
                  <a:pt x="9" y="149"/>
                </a:cubicBezTo>
                <a:cubicBezTo>
                  <a:pt x="104" y="149"/>
                  <a:pt x="104" y="149"/>
                  <a:pt x="104" y="149"/>
                </a:cubicBezTo>
                <a:cubicBezTo>
                  <a:pt x="109" y="149"/>
                  <a:pt x="113" y="153"/>
                  <a:pt x="113" y="158"/>
                </a:cubicBezTo>
                <a:cubicBezTo>
                  <a:pt x="113" y="163"/>
                  <a:pt x="109" y="167"/>
                  <a:pt x="104" y="167"/>
                </a:cubicBezTo>
                <a:close/>
                <a:moveTo>
                  <a:pt x="130" y="103"/>
                </a:moveTo>
                <a:cubicBezTo>
                  <a:pt x="130" y="108"/>
                  <a:pt x="126" y="112"/>
                  <a:pt x="121" y="112"/>
                </a:cubicBezTo>
                <a:cubicBezTo>
                  <a:pt x="39" y="112"/>
                  <a:pt x="39" y="112"/>
                  <a:pt x="39" y="112"/>
                </a:cubicBezTo>
                <a:cubicBezTo>
                  <a:pt x="34" y="112"/>
                  <a:pt x="30" y="108"/>
                  <a:pt x="30" y="103"/>
                </a:cubicBezTo>
                <a:cubicBezTo>
                  <a:pt x="30" y="98"/>
                  <a:pt x="34" y="94"/>
                  <a:pt x="39" y="94"/>
                </a:cubicBezTo>
                <a:cubicBezTo>
                  <a:pt x="121" y="94"/>
                  <a:pt x="121" y="94"/>
                  <a:pt x="121" y="94"/>
                </a:cubicBezTo>
                <a:cubicBezTo>
                  <a:pt x="126" y="94"/>
                  <a:pt x="130" y="98"/>
                  <a:pt x="130" y="103"/>
                </a:cubicBezTo>
                <a:close/>
                <a:moveTo>
                  <a:pt x="130" y="213"/>
                </a:moveTo>
                <a:cubicBezTo>
                  <a:pt x="130" y="218"/>
                  <a:pt x="126" y="222"/>
                  <a:pt x="121" y="222"/>
                </a:cubicBezTo>
                <a:cubicBezTo>
                  <a:pt x="39" y="222"/>
                  <a:pt x="39" y="222"/>
                  <a:pt x="39" y="222"/>
                </a:cubicBezTo>
                <a:cubicBezTo>
                  <a:pt x="34" y="222"/>
                  <a:pt x="30" y="218"/>
                  <a:pt x="30" y="213"/>
                </a:cubicBezTo>
                <a:cubicBezTo>
                  <a:pt x="30" y="208"/>
                  <a:pt x="34" y="204"/>
                  <a:pt x="39" y="204"/>
                </a:cubicBezTo>
                <a:cubicBezTo>
                  <a:pt x="121" y="204"/>
                  <a:pt x="121" y="204"/>
                  <a:pt x="121" y="204"/>
                </a:cubicBezTo>
                <a:cubicBezTo>
                  <a:pt x="126" y="204"/>
                  <a:pt x="130" y="208"/>
                  <a:pt x="130" y="213"/>
                </a:cubicBezTo>
                <a:close/>
              </a:path>
            </a:pathLst>
          </a:custGeom>
          <a:gradFill>
            <a:gsLst>
              <a:gs pos="0">
                <a:srgbClr val="2995A9"/>
              </a:gs>
              <a:gs pos="94000">
                <a:srgbClr val="1B005C"/>
              </a:gs>
            </a:gsLst>
            <a:path path="circle">
              <a:fillToRect l="100000" t="100000"/>
            </a:path>
          </a:gradFill>
          <a:ln>
            <a:noFill/>
          </a:ln>
          <a:effectLst>
            <a:outerShdw blurRad="38100" dist="25400" dir="2700000" algn="tl" rotWithShape="0">
              <a:srgbClr val="4D4D4D">
                <a:alpha val="40000"/>
              </a:srgbClr>
            </a:outerShdw>
          </a:effectLst>
        </xdr:spPr>
        <xdr:txBody>
          <a:bodyPr vert="horz" wrap="square" lIns="91440" tIns="45720" rIns="91440" bIns="45720" numCol="1" anchor="t" anchorCtr="0" compatLnSpc="1">
            <a:prstTxWarp prst="textNoShape">
              <a:avLst/>
            </a:prstTxWarp>
          </a:bodyPr>
          <a:lstStyle>
            <a:defPPr>
              <a:defRPr lang="en-US"/>
            </a:defPPr>
            <a:lvl1pPr marL="0" algn="l" defTabSz="586130" rtl="0" eaLnBrk="1" latinLnBrk="0" hangingPunct="1">
              <a:defRPr sz="2308" kern="1200">
                <a:solidFill>
                  <a:srgbClr val="000000"/>
                </a:solidFill>
                <a:latin typeface="Wells Fargo Sans"/>
              </a:defRPr>
            </a:lvl1pPr>
            <a:lvl2pPr marL="586130" algn="l" defTabSz="586130" rtl="0" eaLnBrk="1" latinLnBrk="0" hangingPunct="1">
              <a:defRPr sz="2308" kern="1200">
                <a:solidFill>
                  <a:srgbClr val="000000"/>
                </a:solidFill>
                <a:latin typeface="Wells Fargo Sans"/>
              </a:defRPr>
            </a:lvl2pPr>
            <a:lvl3pPr marL="1172261" algn="l" defTabSz="586130" rtl="0" eaLnBrk="1" latinLnBrk="0" hangingPunct="1">
              <a:defRPr sz="2308" kern="1200">
                <a:solidFill>
                  <a:srgbClr val="000000"/>
                </a:solidFill>
                <a:latin typeface="Wells Fargo Sans"/>
              </a:defRPr>
            </a:lvl3pPr>
            <a:lvl4pPr marL="1758391" algn="l" defTabSz="586130" rtl="0" eaLnBrk="1" latinLnBrk="0" hangingPunct="1">
              <a:defRPr sz="2308" kern="1200">
                <a:solidFill>
                  <a:srgbClr val="000000"/>
                </a:solidFill>
                <a:latin typeface="Wells Fargo Sans"/>
              </a:defRPr>
            </a:lvl4pPr>
            <a:lvl5pPr marL="2344522" algn="l" defTabSz="586130" rtl="0" eaLnBrk="1" latinLnBrk="0" hangingPunct="1">
              <a:defRPr sz="2308" kern="1200">
                <a:solidFill>
                  <a:srgbClr val="000000"/>
                </a:solidFill>
                <a:latin typeface="Wells Fargo Sans"/>
              </a:defRPr>
            </a:lvl5pPr>
            <a:lvl6pPr marL="2930652" algn="l" defTabSz="586130" rtl="0" eaLnBrk="1" latinLnBrk="0" hangingPunct="1">
              <a:defRPr sz="2308" kern="1200">
                <a:solidFill>
                  <a:srgbClr val="000000"/>
                </a:solidFill>
                <a:latin typeface="Wells Fargo Sans"/>
              </a:defRPr>
            </a:lvl6pPr>
            <a:lvl7pPr marL="3516782" algn="l" defTabSz="586130" rtl="0" eaLnBrk="1" latinLnBrk="0" hangingPunct="1">
              <a:defRPr sz="2308" kern="1200">
                <a:solidFill>
                  <a:srgbClr val="000000"/>
                </a:solidFill>
                <a:latin typeface="Wells Fargo Sans"/>
              </a:defRPr>
            </a:lvl7pPr>
            <a:lvl8pPr marL="4102913" algn="l" defTabSz="586130" rtl="0" eaLnBrk="1" latinLnBrk="0" hangingPunct="1">
              <a:defRPr sz="2308" kern="1200">
                <a:solidFill>
                  <a:srgbClr val="000000"/>
                </a:solidFill>
                <a:latin typeface="Wells Fargo Sans"/>
              </a:defRPr>
            </a:lvl8pPr>
            <a:lvl9pPr marL="4689043" algn="l" defTabSz="586130" rtl="0" eaLnBrk="1" latinLnBrk="0" hangingPunct="1">
              <a:defRPr sz="2308" kern="1200">
                <a:solidFill>
                  <a:srgbClr val="000000"/>
                </a:solidFill>
                <a:latin typeface="Wells Fargo Sans"/>
              </a:defRPr>
            </a:lvl9pPr>
          </a:lstStyle>
          <a:p>
            <a:endParaRPr lang="en-US"/>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3</xdr:col>
      <xdr:colOff>203835</xdr:colOff>
      <xdr:row>1</xdr:row>
      <xdr:rowOff>5715</xdr:rowOff>
    </xdr:to>
    <xdr:grpSp>
      <xdr:nvGrpSpPr>
        <xdr:cNvPr id="7" name="Group 6">
          <a:extLst>
            <a:ext uri="{FF2B5EF4-FFF2-40B4-BE49-F238E27FC236}">
              <a16:creationId xmlns:a16="http://schemas.microsoft.com/office/drawing/2014/main" id="{00000000-0008-0000-0300-000007000000}"/>
            </a:ext>
          </a:extLst>
        </xdr:cNvPr>
        <xdr:cNvGrpSpPr/>
      </xdr:nvGrpSpPr>
      <xdr:grpSpPr>
        <a:xfrm>
          <a:off x="0" y="0"/>
          <a:ext cx="9509760" cy="729615"/>
          <a:chOff x="9524" y="0"/>
          <a:chExt cx="9511000" cy="731742"/>
        </a:xfrm>
      </xdr:grpSpPr>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74973" y="0"/>
            <a:ext cx="1646135" cy="559916"/>
          </a:xfrm>
          <a:prstGeom prst="rect">
            <a:avLst/>
          </a:prstGeom>
        </xdr:spPr>
      </xdr:pic>
      <xdr:pic>
        <xdr:nvPicPr>
          <xdr:cNvPr id="9" name="Picture 8">
            <a:extLst>
              <a:ext uri="{FF2B5EF4-FFF2-40B4-BE49-F238E27FC236}">
                <a16:creationId xmlns:a16="http://schemas.microsoft.com/office/drawing/2014/main" id="{00000000-0008-0000-0300-00000900000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4" y="640302"/>
            <a:ext cx="9511000" cy="91440"/>
          </a:xfrm>
          <a:prstGeom prst="rect">
            <a:avLst/>
          </a:prstGeom>
        </xdr:spPr>
      </xdr:pic>
      <xdr:pic>
        <xdr:nvPicPr>
          <xdr:cNvPr id="10" name="Picture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90500" y="0"/>
            <a:ext cx="1646063" cy="548688"/>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9525</xdr:colOff>
      <xdr:row>0</xdr:row>
      <xdr:rowOff>104775</xdr:rowOff>
    </xdr:from>
    <xdr:to>
      <xdr:col>1</xdr:col>
      <xdr:colOff>962025</xdr:colOff>
      <xdr:row>0</xdr:row>
      <xdr:rowOff>426843</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 y="104775"/>
          <a:ext cx="952500" cy="32206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xdr:col>
      <xdr:colOff>213360</xdr:colOff>
      <xdr:row>1</xdr:row>
      <xdr:rowOff>5715</xdr:rowOff>
    </xdr:to>
    <xdr:grpSp>
      <xdr:nvGrpSpPr>
        <xdr:cNvPr id="7" name="Group 6">
          <a:extLst>
            <a:ext uri="{FF2B5EF4-FFF2-40B4-BE49-F238E27FC236}">
              <a16:creationId xmlns:a16="http://schemas.microsoft.com/office/drawing/2014/main" id="{00000000-0008-0000-0500-000007000000}"/>
            </a:ext>
          </a:extLst>
        </xdr:cNvPr>
        <xdr:cNvGrpSpPr/>
      </xdr:nvGrpSpPr>
      <xdr:grpSpPr>
        <a:xfrm>
          <a:off x="0" y="0"/>
          <a:ext cx="9509760" cy="729615"/>
          <a:chOff x="9524" y="0"/>
          <a:chExt cx="9511000" cy="731742"/>
        </a:xfrm>
      </xdr:grpSpPr>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74973" y="0"/>
            <a:ext cx="1646135" cy="559916"/>
          </a:xfrm>
          <a:prstGeom prst="rect">
            <a:avLst/>
          </a:prstGeom>
        </xdr:spPr>
      </xdr:pic>
      <xdr:pic>
        <xdr:nvPicPr>
          <xdr:cNvPr id="9" name="Picture 8">
            <a:extLst>
              <a:ext uri="{FF2B5EF4-FFF2-40B4-BE49-F238E27FC236}">
                <a16:creationId xmlns:a16="http://schemas.microsoft.com/office/drawing/2014/main" id="{00000000-0008-0000-0500-00000900000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4" y="640302"/>
            <a:ext cx="9511000" cy="91440"/>
          </a:xfrm>
          <a:prstGeom prst="rect">
            <a:avLst/>
          </a:prstGeom>
        </xdr:spPr>
      </xdr:pic>
      <xdr:pic>
        <xdr:nvPicPr>
          <xdr:cNvPr id="10" name="Picture 9">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90500" y="0"/>
            <a:ext cx="1646063" cy="548688"/>
          </a:xfrm>
          <a:prstGeom prst="rect">
            <a:avLst/>
          </a:prstGeom>
        </xdr:spPr>
      </xdr:pic>
    </xdr:grpSp>
    <xdr:clientData/>
  </xdr:twoCellAnchor>
</xdr:wsDr>
</file>

<file path=xl/theme/theme1.xml><?xml version="1.0" encoding="utf-8"?>
<a:theme xmlns:a="http://schemas.openxmlformats.org/drawingml/2006/main" name="WFAM_Excel">
  <a:themeElements>
    <a:clrScheme name="WFAM_MSOffice_PrintPalette">
      <a:dk1>
        <a:srgbClr val="000000"/>
      </a:dk1>
      <a:lt1>
        <a:srgbClr val="FFFFFF"/>
      </a:lt1>
      <a:dk2>
        <a:srgbClr val="4D4D4D"/>
      </a:dk2>
      <a:lt2>
        <a:srgbClr val="FFFFFF"/>
      </a:lt2>
      <a:accent1>
        <a:srgbClr val="842B77"/>
      </a:accent1>
      <a:accent2>
        <a:srgbClr val="48206E"/>
      </a:accent2>
      <a:accent3>
        <a:srgbClr val="D8A557"/>
      </a:accent3>
      <a:accent4>
        <a:srgbClr val="1D6A95"/>
      </a:accent4>
      <a:accent5>
        <a:srgbClr val="A95896"/>
      </a:accent5>
      <a:accent6>
        <a:srgbClr val="1DCCC4"/>
      </a:accent6>
      <a:hlink>
        <a:srgbClr val="4D4BA2"/>
      </a:hlink>
      <a:folHlink>
        <a:srgbClr val="908FCB"/>
      </a:folHlink>
    </a:clrScheme>
    <a:fontScheme name="WF Sans SemiBold and Sans">
      <a:majorFont>
        <a:latin typeface="Wells Fargo Sans SemiBold"/>
        <a:ea typeface=""/>
        <a:cs typeface=""/>
      </a:majorFont>
      <a:minorFont>
        <a:latin typeface="Wells Fargo Sans"/>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custClrLst>
    <a:custClr name="WFAM Dark Gold">
      <a:srgbClr val="946E3A"/>
    </a:custClr>
    <a:custClr name="WFAM Plum Tint 1">
      <a:srgbClr val="E6D5EA"/>
    </a:custClr>
    <a:custClr name="WFAM Dark Purple Tint 1">
      <a:srgbClr val="ECE8F0"/>
    </a:custClr>
    <a:custClr name="WFAM Light Gold Tint 1">
      <a:srgbClr val="F9F2E6"/>
    </a:custClr>
    <a:custClr name="WFAM Blue Tint 1">
      <a:srgbClr val="E8F0F4"/>
    </a:custClr>
    <a:custClr name="WFAM Light Plum Tint 1">
      <a:srgbClr val="F2E6EF"/>
    </a:custClr>
    <a:custClr name="WFAM Aqua Tint 1">
      <a:srgbClr val="E8FAF9"/>
    </a:custClr>
    <a:custClr name="WFAM Royal Blue Tint 1">
      <a:srgbClr val="EDEDF6"/>
    </a:custClr>
    <a:custClr name="WFAM Heatmap -1">
      <a:srgbClr val="EAC8C5"/>
    </a:custClr>
    <a:custClr name="WFAM Heatmap +1">
      <a:srgbClr val="C1D7D8"/>
    </a:custClr>
    <a:custClr name="WFAM Lightest Gray">
      <a:srgbClr val="F2F2F2"/>
    </a:custClr>
    <a:custClr name="WFAM Plum Tint 2">
      <a:srgbClr val="CEAAC9"/>
    </a:custClr>
    <a:custClr name="WFAM Dark Purple Tint 2">
      <a:srgbClr val="C8BCD3"/>
    </a:custClr>
    <a:custClr name="WFAM Light Gold Tint 2">
      <a:srgbClr val="F3E4CC"/>
    </a:custClr>
    <a:custClr name="WFAM Blue Tint 2">
      <a:srgbClr val="C6DAE4"/>
    </a:custClr>
    <a:custClr name="WFAM Light Plum Tint 2">
      <a:srgbClr val="E5CDDF"/>
    </a:custClr>
    <a:custClr name="WFAM Aqua Tint 2">
      <a:srgbClr val="C6F2F0"/>
    </a:custClr>
    <a:custClr name="WFAM Royal Blue Tint 2">
      <a:srgbClr val="C9C9E3"/>
    </a:custClr>
    <a:custClr name="WFAM Heatmap -2">
      <a:srgbClr val="D8948C"/>
    </a:custClr>
    <a:custClr name="WFAM Heatmap +2">
      <a:srgbClr val="85B1B1"/>
    </a:custClr>
    <a:custClr name="WFAM Light Gray">
      <a:srgbClr val="D8D8D8"/>
    </a:custClr>
    <a:custClr name="WFAM Plum Tint 3">
      <a:srgbClr val="B580AD"/>
    </a:custClr>
    <a:custClr name="WFAM Dark Purple Tint 3">
      <a:srgbClr val="9179A8"/>
    </a:custClr>
    <a:custClr name="WFAM Light Gold Tint 3">
      <a:srgbClr val="E8C99A"/>
    </a:custClr>
    <a:custClr name="WFAM Blue Tint 3">
      <a:srgbClr val="77A6BF"/>
    </a:custClr>
    <a:custClr name="WFAM Light Plum Tint 3">
      <a:srgbClr val="CB9BC0"/>
    </a:custClr>
    <a:custClr name="WFAM Aqua Tint 3">
      <a:srgbClr val="77E0DC"/>
    </a:custClr>
    <a:custClr name="WFAM Royal Blue Tint 3">
      <a:srgbClr val="9494C9"/>
    </a:custClr>
    <a:custClr name="WFAM Heatmap -3">
      <a:srgbClr val="C66052"/>
    </a:custClr>
    <a:custClr name="WFAM Heatmap +3">
      <a:srgbClr val="4A8C8A"/>
    </a:custClr>
    <a:custClr name="WFAM Medium Gray">
      <a:srgbClr val="999999"/>
    </a:custClr>
    <a:custClr name="WFAM Plum Tint 4">
      <a:srgbClr val="6A225F"/>
    </a:custClr>
    <a:custClr name="WFAM Dark Purple Tint 4">
      <a:srgbClr val="3A1A58"/>
    </a:custClr>
    <a:custClr name="WFAM Light Gold Tint 4">
      <a:srgbClr val="C5892E"/>
    </a:custClr>
    <a:custClr name="WFAM Blue Tint 4">
      <a:srgbClr val="175577"/>
    </a:custClr>
    <a:custClr name="WFAM Light Plum Tint 4">
      <a:srgbClr val="884678"/>
    </a:custClr>
    <a:custClr name="WFAM Aqua Tint 4">
      <a:srgbClr val="17A39D"/>
    </a:custClr>
    <a:custClr name="WFAM Royal Blue Tint 4">
      <a:srgbClr val="3A3A79"/>
    </a:custClr>
    <a:custClr name="WFAM Heatmap -4 MIN">
      <a:srgbClr val="B42D19"/>
    </a:custClr>
    <a:custClr name="WFAM Heatmap +4 MAX">
      <a:srgbClr val="0E6662"/>
    </a:custClr>
    <a:custClr name="WFAM Dark Gray / Benchmark 1">
      <a:srgbClr val="4D4D4D"/>
    </a:custClr>
    <a:custClr name="WFAM Benchmark 2">
      <a:srgbClr val="686868"/>
    </a:custClr>
    <a:custClr name="WFAM Benchmark 3">
      <a:srgbClr val="949494"/>
    </a:custClr>
    <a:custClr name="WFAM Benchmark 4">
      <a:srgbClr val="B8B8B8"/>
    </a:custClr>
    <a:custClr name="WFAM Benchmark 5">
      <a:srgbClr val="DBDBDB"/>
    </a:custClr>
    <a:custClr name="WFAM Benchmark 6">
      <a:srgbClr val="EFEFEF"/>
    </a:custClr>
    <a:custClr name="WFAM Royal Blue">
      <a:srgbClr val="4D4BA2"/>
    </a:custClr>
    <a:custClr name="WFAM Royal Blue Tint 5">
      <a:srgbClr val="262651"/>
    </a:custClr>
    <a:custClr name="WF Red">
      <a:srgbClr val="D71E28"/>
    </a:custClr>
    <a:custClr name="WF Yellow">
      <a:srgbClr val="FFCD41"/>
    </a:custClr>
  </a:custClr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sheetPr>
  <dimension ref="A1:N48"/>
  <sheetViews>
    <sheetView showGridLines="0" showRowColHeaders="0" zoomScaleNormal="100" workbookViewId="0">
      <pane ySplit="1" topLeftCell="A17" activePane="bottomLeft" state="frozen"/>
      <selection pane="bottomLeft" activeCell="C29" sqref="C29:C39"/>
    </sheetView>
  </sheetViews>
  <sheetFormatPr defaultColWidth="8.33203125" defaultRowHeight="15.75" x14ac:dyDescent="0.3"/>
  <cols>
    <col min="1" max="1" width="2.21875" customWidth="1"/>
    <col min="2" max="2" width="41" customWidth="1"/>
    <col min="3" max="3" width="40.109375" customWidth="1"/>
    <col min="4" max="4" width="21.21875" customWidth="1"/>
    <col min="7" max="7" width="9.21875" customWidth="1"/>
  </cols>
  <sheetData>
    <row r="1" spans="1:14" s="3" customFormat="1" ht="57" customHeight="1" x14ac:dyDescent="0.25">
      <c r="A1" s="5"/>
      <c r="B1" s="28"/>
      <c r="C1" s="5"/>
      <c r="D1" s="5"/>
      <c r="E1" s="5"/>
      <c r="F1" s="5"/>
      <c r="G1" s="5"/>
      <c r="H1" s="5"/>
      <c r="I1" s="5"/>
      <c r="J1" s="5"/>
      <c r="K1" s="5"/>
      <c r="L1" s="5"/>
    </row>
    <row r="2" spans="1:14" s="27" customFormat="1" ht="15" customHeight="1" x14ac:dyDescent="0.25">
      <c r="A2" s="26"/>
      <c r="B2" s="26"/>
      <c r="C2" s="26"/>
      <c r="D2" s="26"/>
      <c r="E2" s="26"/>
      <c r="F2" s="26"/>
      <c r="G2" s="26"/>
      <c r="H2" s="26"/>
      <c r="I2" s="26"/>
      <c r="J2" s="26"/>
      <c r="K2" s="26"/>
      <c r="L2" s="26"/>
    </row>
    <row r="3" spans="1:14" s="11" customFormat="1" ht="21.75" x14ac:dyDescent="0.4">
      <c r="B3" s="29" t="s">
        <v>193</v>
      </c>
    </row>
    <row r="4" spans="1:14" s="12" customFormat="1" ht="12" customHeight="1" x14ac:dyDescent="0.3"/>
    <row r="5" spans="1:14" s="30" customFormat="1" ht="19.5" customHeight="1" x14ac:dyDescent="0.3">
      <c r="B5" s="70" t="s">
        <v>0</v>
      </c>
    </row>
    <row r="6" spans="1:14" s="31" customFormat="1" ht="14.25" customHeight="1" x14ac:dyDescent="0.3">
      <c r="B6" s="71" t="s">
        <v>1</v>
      </c>
      <c r="D6" s="32"/>
      <c r="E6" s="32"/>
      <c r="F6" s="32"/>
      <c r="G6" s="32"/>
      <c r="H6" s="32"/>
      <c r="I6" s="32"/>
      <c r="J6" s="32"/>
      <c r="K6" s="32"/>
      <c r="L6" s="32"/>
      <c r="M6" s="32"/>
      <c r="N6" s="32"/>
    </row>
    <row r="7" spans="1:14" s="31" customFormat="1" ht="14.25" customHeight="1" x14ac:dyDescent="0.3"/>
    <row r="8" spans="1:14" s="39" customFormat="1" x14ac:dyDescent="0.3">
      <c r="B8" s="72" t="s">
        <v>2</v>
      </c>
      <c r="C8" s="73"/>
    </row>
    <row r="9" spans="1:14" s="31" customFormat="1" ht="13.5" x14ac:dyDescent="0.3">
      <c r="B9" s="83" t="s">
        <v>3</v>
      </c>
      <c r="C9" s="33" t="s">
        <v>264</v>
      </c>
    </row>
    <row r="10" spans="1:14" s="31" customFormat="1" ht="13.5" x14ac:dyDescent="0.3">
      <c r="B10" s="83" t="s">
        <v>5</v>
      </c>
      <c r="C10" s="33" t="s">
        <v>265</v>
      </c>
      <c r="D10" s="32"/>
    </row>
    <row r="11" spans="1:14" s="31" customFormat="1" ht="13.5" x14ac:dyDescent="0.3">
      <c r="B11" s="83" t="s">
        <v>203</v>
      </c>
      <c r="C11" s="33" t="s">
        <v>202</v>
      </c>
      <c r="D11" s="32"/>
    </row>
    <row r="12" spans="1:14" s="31" customFormat="1" ht="13.5" x14ac:dyDescent="0.3">
      <c r="B12" s="31" t="s">
        <v>250</v>
      </c>
      <c r="C12" s="33">
        <v>1500000</v>
      </c>
    </row>
    <row r="13" spans="1:14" s="31" customFormat="1" ht="13.5" x14ac:dyDescent="0.3">
      <c r="B13" s="31" t="s">
        <v>182</v>
      </c>
      <c r="C13" s="35" t="s">
        <v>209</v>
      </c>
    </row>
    <row r="14" spans="1:14" s="31" customFormat="1" ht="13.5" x14ac:dyDescent="0.3">
      <c r="B14" s="31" t="s">
        <v>6</v>
      </c>
      <c r="C14" s="33" t="s">
        <v>4</v>
      </c>
      <c r="E14" s="110"/>
      <c r="F14" s="110"/>
      <c r="G14" s="110"/>
      <c r="H14" s="110"/>
      <c r="I14" s="110"/>
    </row>
    <row r="15" spans="1:14" s="31" customFormat="1" ht="13.5" x14ac:dyDescent="0.3">
      <c r="B15" s="83" t="s">
        <v>7</v>
      </c>
      <c r="C15" s="33" t="s">
        <v>262</v>
      </c>
      <c r="E15" s="110"/>
      <c r="F15" s="110"/>
      <c r="G15" s="110"/>
      <c r="H15" s="110"/>
      <c r="I15" s="110"/>
    </row>
    <row r="16" spans="1:14" s="31" customFormat="1" ht="13.5" x14ac:dyDescent="0.3">
      <c r="B16" s="83" t="s">
        <v>8</v>
      </c>
      <c r="C16" s="33" t="s">
        <v>263</v>
      </c>
      <c r="I16" s="110"/>
    </row>
    <row r="17" spans="1:14" s="39" customFormat="1" x14ac:dyDescent="0.25">
      <c r="B17" s="31"/>
      <c r="C17" s="34"/>
      <c r="E17" s="123" t="s">
        <v>238</v>
      </c>
      <c r="F17" s="123"/>
      <c r="G17" s="123" t="s">
        <v>241</v>
      </c>
      <c r="H17" s="123"/>
      <c r="I17" s="93"/>
      <c r="J17" s="31"/>
      <c r="K17" s="31"/>
      <c r="L17" s="31"/>
      <c r="M17" s="31"/>
      <c r="N17" s="31"/>
    </row>
    <row r="18" spans="1:14" s="31" customFormat="1" x14ac:dyDescent="0.25">
      <c r="B18" s="72" t="s">
        <v>228</v>
      </c>
      <c r="C18" s="73"/>
      <c r="E18" s="109" t="s">
        <v>239</v>
      </c>
      <c r="F18" s="109" t="s">
        <v>240</v>
      </c>
      <c r="G18" s="109" t="s">
        <v>239</v>
      </c>
      <c r="H18" s="109" t="s">
        <v>240</v>
      </c>
      <c r="I18" s="110"/>
      <c r="J18" s="39"/>
      <c r="K18" s="39"/>
      <c r="M18" s="39"/>
      <c r="N18" s="39"/>
    </row>
    <row r="19" spans="1:14" s="31" customFormat="1" x14ac:dyDescent="0.3">
      <c r="B19" s="83" t="s">
        <v>9</v>
      </c>
      <c r="C19" s="33" t="s">
        <v>205</v>
      </c>
      <c r="E19" s="116" t="str">
        <f>VLOOKUP(C19,'Reference Data (not seen by FA)'!C6:O19,5,FALSE)</f>
        <v>N</v>
      </c>
      <c r="F19" s="116" t="str">
        <f>VLOOKUP(C19,'Reference Data (not seen by FA)'!C6:O19,6,FALSE)</f>
        <v>Y</v>
      </c>
      <c r="G19" s="116" t="str">
        <f>VLOOKUP(C19,'Reference Data (not seen by FA)'!C6:O19,7,FALSE)</f>
        <v>N/A</v>
      </c>
      <c r="H19" s="116" t="str">
        <f>VLOOKUP(C19,'Reference Data (not seen by FA)'!C6:O19,8,FALSE)</f>
        <v>2.5mm</v>
      </c>
      <c r="I19" s="110"/>
      <c r="L19" s="39"/>
    </row>
    <row r="20" spans="1:14" s="31" customFormat="1" x14ac:dyDescent="0.3">
      <c r="A20" s="39"/>
      <c r="C20" s="34"/>
      <c r="D20" s="39"/>
      <c r="E20" s="93"/>
      <c r="F20" s="93"/>
      <c r="G20" s="93"/>
      <c r="H20" s="93"/>
      <c r="I20" s="93"/>
    </row>
    <row r="21" spans="1:14" s="39" customFormat="1" x14ac:dyDescent="0.3">
      <c r="A21" s="31"/>
      <c r="B21" s="72" t="s">
        <v>251</v>
      </c>
      <c r="C21" s="73"/>
      <c r="D21" s="31"/>
      <c r="E21" s="125" t="s">
        <v>249</v>
      </c>
      <c r="F21" s="125"/>
      <c r="G21" s="125"/>
      <c r="H21" s="125"/>
      <c r="I21" s="110"/>
      <c r="L21" s="31"/>
      <c r="M21" s="31"/>
      <c r="N21" s="31"/>
    </row>
    <row r="22" spans="1:14" s="39" customFormat="1" x14ac:dyDescent="0.3">
      <c r="A22" s="31"/>
      <c r="B22" s="31" t="s">
        <v>229</v>
      </c>
      <c r="C22" s="33" t="s">
        <v>116</v>
      </c>
      <c r="D22" s="31"/>
      <c r="E22" s="124" t="s">
        <v>222</v>
      </c>
      <c r="F22" s="124"/>
      <c r="G22" s="126" t="str">
        <f>VLOOKUP(C19,'Reference Data (not seen by FA)'!C6:F19,3,FALSE)</f>
        <v>A</v>
      </c>
      <c r="H22" s="126"/>
      <c r="I22" s="110"/>
      <c r="L22" s="31"/>
      <c r="M22" s="31"/>
      <c r="N22" s="31"/>
    </row>
    <row r="23" spans="1:14" s="39" customFormat="1" x14ac:dyDescent="0.25">
      <c r="A23" s="31"/>
      <c r="B23" s="23" t="s">
        <v>254</v>
      </c>
      <c r="C23" s="33" t="s">
        <v>4</v>
      </c>
      <c r="D23" s="31" t="s">
        <v>56</v>
      </c>
      <c r="E23" s="124" t="s">
        <v>214</v>
      </c>
      <c r="F23" s="124"/>
      <c r="G23" s="126">
        <f>VLOOKUP(C19,'Reference Data (not seen by FA)'!C6:F19,4,FALSE)</f>
        <v>7</v>
      </c>
      <c r="H23" s="126"/>
      <c r="I23" s="110"/>
      <c r="L23" s="31"/>
      <c r="M23" s="31"/>
      <c r="N23" s="31"/>
    </row>
    <row r="24" spans="1:14" s="39" customFormat="1" x14ac:dyDescent="0.25">
      <c r="A24" s="31"/>
      <c r="B24" s="23" t="s">
        <v>252</v>
      </c>
      <c r="C24" s="33" t="s">
        <v>4</v>
      </c>
      <c r="D24" s="31"/>
      <c r="E24" s="124" t="s">
        <v>260</v>
      </c>
      <c r="F24" s="124"/>
      <c r="G24" s="126" t="str">
        <f>VLOOKUP(C19,'Reference Data (not seen by FA)'!C6:F19,2,FALSE)</f>
        <v>National</v>
      </c>
      <c r="H24" s="126"/>
      <c r="I24" s="31"/>
      <c r="L24" s="31"/>
      <c r="M24" s="31"/>
      <c r="N24" s="31"/>
    </row>
    <row r="25" spans="1:14" s="39" customFormat="1" x14ac:dyDescent="0.25">
      <c r="A25" s="31"/>
      <c r="B25" s="23" t="s">
        <v>253</v>
      </c>
      <c r="C25" s="33" t="s">
        <v>4</v>
      </c>
      <c r="D25" s="31"/>
      <c r="E25" s="31"/>
      <c r="F25" s="31"/>
      <c r="G25" s="31"/>
      <c r="H25" s="31"/>
      <c r="I25" s="31"/>
      <c r="L25" s="31"/>
      <c r="M25" s="31"/>
      <c r="N25" s="31"/>
    </row>
    <row r="26" spans="1:14" s="31" customFormat="1" x14ac:dyDescent="0.25">
      <c r="B26" s="23" t="s">
        <v>259</v>
      </c>
      <c r="C26" s="33" t="s">
        <v>4</v>
      </c>
      <c r="E26" s="125" t="s">
        <v>258</v>
      </c>
      <c r="F26" s="125"/>
      <c r="G26" s="125"/>
      <c r="H26" s="125"/>
      <c r="M26" s="39"/>
      <c r="N26" s="39"/>
    </row>
    <row r="27" spans="1:14" s="31" customFormat="1" x14ac:dyDescent="0.25">
      <c r="B27" s="23"/>
      <c r="C27" s="33"/>
      <c r="E27" s="124" t="s">
        <v>221</v>
      </c>
      <c r="F27" s="124"/>
      <c r="G27" s="126" t="str">
        <f>VLOOKUP(C19,'Reference Data (not seen by FA)'!C6:O19,12,FALSE)</f>
        <v>Y</v>
      </c>
      <c r="H27" s="126"/>
      <c r="I27" s="39"/>
      <c r="L27" s="39"/>
    </row>
    <row r="28" spans="1:14" s="39" customFormat="1" x14ac:dyDescent="0.3">
      <c r="A28" s="31"/>
      <c r="B28" s="72" t="s">
        <v>223</v>
      </c>
      <c r="C28" s="73"/>
      <c r="D28" s="31"/>
      <c r="E28" s="124" t="s">
        <v>257</v>
      </c>
      <c r="F28" s="124"/>
      <c r="G28" s="126" t="str">
        <f>VLOOKUP(C19,'Reference Data (not seen by FA)'!C6:O19,9,FALSE)</f>
        <v>Y</v>
      </c>
      <c r="H28" s="126"/>
      <c r="I28" s="31"/>
      <c r="L28" s="31"/>
      <c r="M28" s="31"/>
      <c r="N28" s="31"/>
    </row>
    <row r="29" spans="1:14" s="31" customFormat="1" x14ac:dyDescent="0.3">
      <c r="B29" s="31" t="s">
        <v>25</v>
      </c>
      <c r="C29" s="33" t="s">
        <v>10</v>
      </c>
      <c r="E29" s="124" t="s">
        <v>11</v>
      </c>
      <c r="F29" s="124"/>
      <c r="G29" s="126" t="str">
        <f>VLOOKUP(C19,'Reference Data (not seen by FA)'!C6:O19,10,FALSE)</f>
        <v>Y</v>
      </c>
      <c r="H29" s="126"/>
      <c r="M29" s="39"/>
      <c r="N29" s="39"/>
    </row>
    <row r="30" spans="1:14" s="31" customFormat="1" ht="15" x14ac:dyDescent="0.3">
      <c r="B30" s="31" t="s">
        <v>230</v>
      </c>
      <c r="C30" s="117">
        <v>0.12</v>
      </c>
      <c r="E30" s="124" t="s">
        <v>220</v>
      </c>
      <c r="F30" s="124"/>
      <c r="G30" s="126" t="str">
        <f>VLOOKUP(C19,'Reference Data (not seen by FA)'!C6:O19,13,FALSE)</f>
        <v>Y</v>
      </c>
      <c r="H30" s="126"/>
    </row>
    <row r="31" spans="1:14" s="31" customFormat="1" ht="15" x14ac:dyDescent="0.3">
      <c r="B31" s="31" t="s">
        <v>231</v>
      </c>
      <c r="C31" s="117">
        <v>0.18</v>
      </c>
      <c r="E31" s="124" t="s">
        <v>219</v>
      </c>
      <c r="F31" s="124"/>
      <c r="G31" s="126" t="str">
        <f>VLOOKUP(C19,'Reference Data (not seen by FA)'!C6:O19,11,FALSE)</f>
        <v>-</v>
      </c>
      <c r="H31" s="126"/>
    </row>
    <row r="32" spans="1:14" s="31" customFormat="1" ht="13.5" x14ac:dyDescent="0.3">
      <c r="B32" s="31" t="s">
        <v>227</v>
      </c>
      <c r="C32" s="33">
        <v>1000</v>
      </c>
      <c r="F32" s="36"/>
    </row>
    <row r="33" spans="1:8" s="31" customFormat="1" ht="13.5" x14ac:dyDescent="0.3">
      <c r="B33" s="31" t="s">
        <v>13</v>
      </c>
      <c r="C33" s="33">
        <v>1</v>
      </c>
      <c r="F33" s="36"/>
    </row>
    <row r="34" spans="1:8" s="31" customFormat="1" ht="15" x14ac:dyDescent="0.3">
      <c r="B34" s="31" t="s">
        <v>245</v>
      </c>
      <c r="C34" s="33">
        <v>1000</v>
      </c>
      <c r="F34" s="36"/>
    </row>
    <row r="35" spans="1:8" s="31" customFormat="1" ht="15" x14ac:dyDescent="0.3">
      <c r="B35" s="31" t="s">
        <v>246</v>
      </c>
      <c r="C35" s="33">
        <v>1000</v>
      </c>
      <c r="F35" s="36"/>
    </row>
    <row r="36" spans="1:8" s="31" customFormat="1" ht="15" x14ac:dyDescent="0.3">
      <c r="B36" s="31" t="s">
        <v>247</v>
      </c>
      <c r="C36" s="33">
        <v>1000</v>
      </c>
    </row>
    <row r="37" spans="1:8" s="31" customFormat="1" ht="15" x14ac:dyDescent="0.3">
      <c r="B37" s="31" t="s">
        <v>248</v>
      </c>
      <c r="C37" s="33">
        <v>1000</v>
      </c>
    </row>
    <row r="38" spans="1:8" s="31" customFormat="1" ht="15" x14ac:dyDescent="0.3">
      <c r="B38" s="31" t="s">
        <v>236</v>
      </c>
      <c r="C38" s="33">
        <v>1000</v>
      </c>
    </row>
    <row r="39" spans="1:8" s="31" customFormat="1" ht="14.25" customHeight="1" x14ac:dyDescent="0.3">
      <c r="B39" s="31" t="s">
        <v>237</v>
      </c>
      <c r="C39" s="33">
        <v>20000</v>
      </c>
    </row>
    <row r="40" spans="1:8" s="31" customFormat="1" ht="14.25" customHeight="1" x14ac:dyDescent="0.3">
      <c r="D40"/>
    </row>
    <row r="41" spans="1:8" x14ac:dyDescent="0.3">
      <c r="A41" s="38"/>
      <c r="B41" s="31"/>
      <c r="C41" s="31"/>
      <c r="E41" s="31"/>
      <c r="F41" s="31"/>
      <c r="G41" s="31"/>
      <c r="H41" s="31"/>
    </row>
    <row r="42" spans="1:8" ht="16.5" x14ac:dyDescent="0.3">
      <c r="A42" s="38"/>
      <c r="B42" s="96" t="s">
        <v>14</v>
      </c>
      <c r="C42" s="31"/>
      <c r="E42" s="31"/>
      <c r="F42" s="31"/>
      <c r="G42" s="31"/>
      <c r="H42" s="31"/>
    </row>
    <row r="43" spans="1:8" ht="16.5" x14ac:dyDescent="0.3">
      <c r="B43" s="97" t="s">
        <v>232</v>
      </c>
      <c r="C43" s="31"/>
      <c r="E43" s="31"/>
      <c r="F43" s="31"/>
      <c r="G43" s="31"/>
      <c r="H43" s="31"/>
    </row>
    <row r="44" spans="1:8" ht="16.5" x14ac:dyDescent="0.3">
      <c r="B44" s="97" t="s">
        <v>233</v>
      </c>
      <c r="C44" s="31"/>
    </row>
    <row r="45" spans="1:8" ht="16.5" x14ac:dyDescent="0.3">
      <c r="B45" s="97" t="s">
        <v>234</v>
      </c>
      <c r="C45" s="31"/>
    </row>
    <row r="46" spans="1:8" ht="16.5" x14ac:dyDescent="0.3">
      <c r="B46" s="97" t="s">
        <v>235</v>
      </c>
      <c r="C46" s="38"/>
    </row>
    <row r="47" spans="1:8" x14ac:dyDescent="0.3">
      <c r="B47" s="98"/>
      <c r="C47" s="38"/>
    </row>
    <row r="48" spans="1:8" ht="16.5" x14ac:dyDescent="0.3">
      <c r="B48" s="97" t="s">
        <v>184</v>
      </c>
    </row>
  </sheetData>
  <sheetProtection password="CAC7" sheet="1" objects="1" scenarios="1"/>
  <mergeCells count="20">
    <mergeCell ref="E31:F31"/>
    <mergeCell ref="G31:H31"/>
    <mergeCell ref="E27:F27"/>
    <mergeCell ref="G27:H27"/>
    <mergeCell ref="E26:H26"/>
    <mergeCell ref="E28:F28"/>
    <mergeCell ref="G28:H28"/>
    <mergeCell ref="E29:F29"/>
    <mergeCell ref="G29:H29"/>
    <mergeCell ref="E30:F30"/>
    <mergeCell ref="G30:H30"/>
    <mergeCell ref="E17:F17"/>
    <mergeCell ref="G17:H17"/>
    <mergeCell ref="E22:F22"/>
    <mergeCell ref="E24:F24"/>
    <mergeCell ref="E21:H21"/>
    <mergeCell ref="G22:H22"/>
    <mergeCell ref="G24:H24"/>
    <mergeCell ref="E23:F23"/>
    <mergeCell ref="G23:H23"/>
  </mergeCells>
  <dataValidations count="13">
    <dataValidation type="decimal" allowBlank="1" showInputMessage="1" showErrorMessage="1" error="Cash to Raise must be entered as a positive value.  " sqref="C39" xr:uid="{00000000-0002-0000-0000-000000000000}">
      <formula1>0</formula1>
      <formula2>10000000000</formula2>
    </dataValidation>
    <dataValidation type="decimal" allowBlank="1" showInputMessage="1" showErrorMessage="1" error="Max Realized ST Gains Allowed must be entered as a positive value." sqref="C32" xr:uid="{00000000-0002-0000-0000-000001000000}">
      <formula1>0</formula1>
      <formula2>10000000000</formula2>
    </dataValidation>
    <dataValidation type="decimal" allowBlank="1" showInputMessage="1" showErrorMessage="1" error="LT YTD Realized Gain must be entered as a positive value. " sqref="C36" xr:uid="{00000000-0002-0000-0000-000002000000}">
      <formula1>0</formula1>
      <formula2>10000000000</formula2>
    </dataValidation>
    <dataValidation type="decimal" allowBlank="1" showInputMessage="1" showErrorMessage="1" error="Long Term Tax Rate must be entered as a decimal value between 0 and .5" sqref="C31" xr:uid="{00000000-0002-0000-0000-000003000000}">
      <formula1>0</formula1>
      <formula2>0.5</formula2>
    </dataValidation>
    <dataValidation type="decimal" allowBlank="1" showInputMessage="1" showErrorMessage="1" error="ST YTD Realized Gain must be entered as a positive value. " sqref="C34" xr:uid="{00000000-0002-0000-0000-000004000000}">
      <formula1>0</formula1>
      <formula2>10000000000</formula2>
    </dataValidation>
    <dataValidation type="decimal" allowBlank="1" showInputMessage="1" showErrorMessage="1" error="ST YTD Realized Loss must be entered as a numeric value." sqref="C35" xr:uid="{00000000-0002-0000-0000-000005000000}">
      <formula1>-10000000000</formula1>
      <formula2>10000000000</formula2>
    </dataValidation>
    <dataValidation type="decimal" allowBlank="1" showInputMessage="1" showErrorMessage="1" error="LT YTD Realized Loss must be entered as a numeric value." sqref="C37" xr:uid="{00000000-0002-0000-0000-000006000000}">
      <formula1>-10000000000</formula1>
      <formula2>10000000000</formula2>
    </dataValidation>
    <dataValidation type="decimal" allowBlank="1" showInputMessage="1" showErrorMessage="1" error="Carry Forward Losses must be entered as a numeric value." sqref="C38" xr:uid="{00000000-0002-0000-0000-000007000000}">
      <formula1>-10000000000</formula1>
      <formula2>10000000000</formula2>
    </dataValidation>
    <dataValidation type="decimal" allowBlank="1" showInputMessage="1" showErrorMessage="1" error="Total Market Value must be entered as a positive value.  " sqref="C12" xr:uid="{00000000-0002-0000-0000-000008000000}">
      <formula1>0</formula1>
      <formula2>10000000000</formula2>
    </dataValidation>
    <dataValidation type="decimal" allowBlank="1" showInputMessage="1" showErrorMessage="1" error="Short Term Tax Rate must be entered as a decimal value between 0 and .5" sqref="C30" xr:uid="{00000000-0002-0000-0000-000009000000}">
      <formula1>0</formula1>
      <formula2>0.5</formula2>
    </dataValidation>
    <dataValidation type="textLength" allowBlank="1" showInputMessage="1" showErrorMessage="1" error="Special Instructions may be no longer than 200 characters. " sqref="C23:C26" xr:uid="{00000000-0002-0000-0000-00000A000000}">
      <formula1>0</formula1>
      <formula2>200</formula2>
    </dataValidation>
    <dataValidation type="textLength" allowBlank="1" showInputMessage="1" showErrorMessage="1" error="Account Name must be 44 characters or less. " sqref="C10" xr:uid="{00000000-0002-0000-0000-00000B000000}">
      <formula1>0</formula1>
      <formula2>44</formula2>
    </dataValidation>
    <dataValidation type="textLength" allowBlank="1" showInputMessage="1" showErrorMessage="1" error="Client Name must be 44 characters or less. " sqref="C9" xr:uid="{00000000-0002-0000-0000-00000C000000}">
      <formula1>0</formula1>
      <formula2>44</formula2>
    </dataValidation>
  </dataValidations>
  <pageMargins left="0.3" right="0.3" top="0.3" bottom="0.3" header="0.3" footer="0.3"/>
  <pageSetup fitToWidth="0" fitToHeight="0" orientation="landscape"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D000000}">
          <x14:formula1>
            <xm:f>'Reference Data (not seen by FA)'!$Q$6:$Q$9</xm:f>
          </x14:formula1>
          <xm:sqref>C33</xm:sqref>
        </x14:dataValidation>
        <x14:dataValidation type="list" allowBlank="1" showInputMessage="1" showErrorMessage="1" xr:uid="{00000000-0002-0000-0000-00000E000000}">
          <x14:formula1>
            <xm:f>'Reference Data (not seen by FA)'!$R$6:$R$63</xm:f>
          </x14:formula1>
          <xm:sqref>C29</xm:sqref>
        </x14:dataValidation>
        <x14:dataValidation type="list" allowBlank="1" showInputMessage="1" showErrorMessage="1" xr:uid="{00000000-0002-0000-0000-00000F000000}">
          <x14:formula1>
            <xm:f>'Reference Data (not seen by FA)'!$V$6:$V$10</xm:f>
          </x14:formula1>
          <xm:sqref>C11</xm:sqref>
        </x14:dataValidation>
        <x14:dataValidation type="list" allowBlank="1" showInputMessage="1" showErrorMessage="1" xr:uid="{00000000-0002-0000-0000-000010000000}">
          <x14:formula1>
            <xm:f>'Reference Data (not seen by FA)'!$C$6:$C$19</xm:f>
          </x14:formula1>
          <xm:sqref>C19</xm:sqref>
        </x14:dataValidation>
        <x14:dataValidation type="list" allowBlank="1" showInputMessage="1" showErrorMessage="1" promptTitle="State Preference Option" prompt="When entering a State preference first select a non State specific strategy. " xr:uid="{00000000-0002-0000-0000-000011000000}">
          <x14:formula1>
            <xm:f>'Reference Data (not seen by FA)'!$X$6:$X$17</xm:f>
          </x14:formula1>
          <xm:sqref>C22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7"/>
    <pageSetUpPr fitToPage="1"/>
  </sheetPr>
  <dimension ref="A1:O119"/>
  <sheetViews>
    <sheetView showGridLines="0" showRowColHeaders="0" tabSelected="1" zoomScaleNormal="100" workbookViewId="0">
      <pane ySplit="8" topLeftCell="A9" activePane="bottomLeft" state="frozen"/>
      <selection pane="bottomLeft" activeCell="C13" sqref="C13"/>
    </sheetView>
  </sheetViews>
  <sheetFormatPr defaultRowHeight="15.75" x14ac:dyDescent="0.3"/>
  <cols>
    <col min="1" max="1" width="1.6640625" customWidth="1"/>
    <col min="2" max="2" width="27.33203125" style="24" customWidth="1"/>
    <col min="3" max="3" width="27.33203125" style="94" customWidth="1"/>
    <col min="4" max="5" width="27.33203125" style="95" customWidth="1"/>
    <col min="6" max="6" width="1.44140625" customWidth="1"/>
    <col min="13" max="13" width="8" customWidth="1"/>
  </cols>
  <sheetData>
    <row r="1" spans="1:15" s="3" customFormat="1" ht="57" customHeight="1" x14ac:dyDescent="0.25">
      <c r="A1" s="5"/>
      <c r="B1" s="5"/>
      <c r="C1" s="5"/>
      <c r="D1" s="5"/>
      <c r="E1" s="5"/>
      <c r="F1" s="5"/>
      <c r="G1" s="5"/>
      <c r="H1" s="5"/>
      <c r="I1" s="5"/>
      <c r="J1" s="5"/>
      <c r="K1" s="5"/>
      <c r="L1" s="5"/>
      <c r="M1" s="5"/>
    </row>
    <row r="2" spans="1:15" s="27" customFormat="1" ht="15" customHeight="1" x14ac:dyDescent="0.25">
      <c r="A2" s="26"/>
      <c r="B2" s="26"/>
      <c r="C2" s="26"/>
      <c r="D2" s="26"/>
      <c r="E2" s="26"/>
      <c r="F2" s="26"/>
      <c r="G2" s="26"/>
      <c r="H2" s="26"/>
      <c r="I2" s="26"/>
      <c r="J2" s="26"/>
      <c r="K2" s="26"/>
      <c r="L2" s="26"/>
      <c r="M2" s="26"/>
    </row>
    <row r="3" spans="1:15" s="9" customFormat="1" ht="21.75" customHeight="1" x14ac:dyDescent="0.4">
      <c r="A3" s="11"/>
      <c r="B3" s="29" t="s">
        <v>194</v>
      </c>
      <c r="C3" s="11"/>
      <c r="D3" s="11"/>
      <c r="E3" s="11"/>
      <c r="F3" s="11"/>
    </row>
    <row r="4" spans="1:15" s="2" customFormat="1" x14ac:dyDescent="0.3">
      <c r="A4" s="12"/>
      <c r="B4" s="12"/>
      <c r="C4" s="12"/>
      <c r="D4" s="12"/>
      <c r="E4" s="12"/>
      <c r="F4" s="12"/>
    </row>
    <row r="5" spans="1:15" s="2" customFormat="1" ht="15.75" customHeight="1" x14ac:dyDescent="0.3">
      <c r="A5" s="12"/>
      <c r="B5" s="87" t="s">
        <v>224</v>
      </c>
      <c r="C5" s="86"/>
      <c r="D5" s="86"/>
      <c r="E5" s="86"/>
      <c r="F5" s="13"/>
    </row>
    <row r="6" spans="1:15" s="2" customFormat="1" ht="14.25" customHeight="1" x14ac:dyDescent="0.3">
      <c r="A6" s="12"/>
      <c r="B6" s="87"/>
      <c r="C6" s="86"/>
      <c r="D6" s="86"/>
      <c r="E6" s="86"/>
      <c r="F6" s="14"/>
      <c r="G6" s="6"/>
      <c r="H6" s="6"/>
      <c r="I6" s="6"/>
      <c r="J6" s="6"/>
      <c r="K6" s="6"/>
      <c r="L6" s="6"/>
      <c r="M6" s="6"/>
      <c r="N6" s="6"/>
      <c r="O6" s="6"/>
    </row>
    <row r="7" spans="1:15" s="2" customFormat="1" ht="15.75" customHeight="1" x14ac:dyDescent="0.3">
      <c r="A7" s="12"/>
      <c r="B7" s="89" t="s">
        <v>215</v>
      </c>
      <c r="C7" s="92">
        <v>890000</v>
      </c>
      <c r="D7" s="86"/>
      <c r="E7" s="86"/>
      <c r="F7" s="14"/>
      <c r="G7" s="6"/>
      <c r="H7" s="6"/>
      <c r="I7" s="6"/>
      <c r="J7" s="6"/>
      <c r="K7" s="6"/>
      <c r="L7" s="6"/>
      <c r="M7" s="6"/>
      <c r="N7" s="6"/>
      <c r="O7" s="6"/>
    </row>
    <row r="8" spans="1:15" s="37" customFormat="1" ht="14.25" customHeight="1" x14ac:dyDescent="0.3">
      <c r="A8" s="12"/>
      <c r="B8" s="88"/>
      <c r="C8" s="118"/>
      <c r="D8" s="86"/>
      <c r="E8" s="86"/>
      <c r="F8" s="58"/>
      <c r="G8" s="76"/>
    </row>
    <row r="9" spans="1:15" s="2" customFormat="1" ht="14.25" customHeight="1" x14ac:dyDescent="0.3">
      <c r="A9" s="12"/>
      <c r="B9" s="87"/>
      <c r="C9" s="86"/>
      <c r="D9" s="86"/>
      <c r="E9" s="86"/>
      <c r="F9" s="14"/>
    </row>
    <row r="10" spans="1:15" s="2" customFormat="1" ht="14.25" customHeight="1" x14ac:dyDescent="0.3">
      <c r="A10" s="12"/>
      <c r="B10" s="87" t="s">
        <v>225</v>
      </c>
      <c r="C10" s="86"/>
      <c r="D10" s="86"/>
      <c r="E10" s="86"/>
      <c r="F10" s="14"/>
    </row>
    <row r="11" spans="1:15" s="2" customFormat="1" ht="14.25" customHeight="1" x14ac:dyDescent="0.3">
      <c r="A11" s="12"/>
      <c r="B11" s="14"/>
      <c r="C11" s="14"/>
      <c r="D11" s="14"/>
      <c r="E11" s="14"/>
      <c r="F11" s="12"/>
    </row>
    <row r="12" spans="1:15" s="2" customFormat="1" ht="14.25" customHeight="1" x14ac:dyDescent="0.3">
      <c r="A12" s="12"/>
      <c r="B12" s="56" t="s">
        <v>15</v>
      </c>
      <c r="C12" s="57" t="s">
        <v>16</v>
      </c>
      <c r="D12" s="57" t="s">
        <v>17</v>
      </c>
      <c r="E12" s="57" t="s">
        <v>18</v>
      </c>
      <c r="F12" s="12"/>
    </row>
    <row r="13" spans="1:15" s="2" customFormat="1" ht="14.25" customHeight="1" x14ac:dyDescent="0.3">
      <c r="A13" s="30"/>
      <c r="B13" s="41" t="s">
        <v>266</v>
      </c>
      <c r="C13" s="120">
        <v>44511</v>
      </c>
      <c r="D13" s="121">
        <v>25453.22</v>
      </c>
      <c r="E13" s="122">
        <v>25000</v>
      </c>
      <c r="F13" s="12"/>
    </row>
    <row r="14" spans="1:15" s="2" customFormat="1" ht="14.25" customHeight="1" x14ac:dyDescent="0.3">
      <c r="A14" s="12"/>
      <c r="B14" s="42"/>
      <c r="C14" s="84"/>
      <c r="D14" s="85"/>
      <c r="E14" s="85"/>
      <c r="F14" s="12"/>
    </row>
    <row r="15" spans="1:15" s="2" customFormat="1" ht="14.25" customHeight="1" x14ac:dyDescent="0.3">
      <c r="A15" s="12"/>
      <c r="B15" s="42"/>
      <c r="C15" s="84"/>
      <c r="D15" s="85"/>
      <c r="E15" s="85"/>
      <c r="F15" s="12"/>
    </row>
    <row r="16" spans="1:15" s="2" customFormat="1" ht="14.25" customHeight="1" x14ac:dyDescent="0.3">
      <c r="A16" s="12"/>
      <c r="B16" s="42"/>
      <c r="C16" s="84"/>
      <c r="D16" s="85"/>
      <c r="E16" s="85"/>
      <c r="F16" s="12"/>
    </row>
    <row r="17" spans="1:10" s="2" customFormat="1" ht="14.25" customHeight="1" x14ac:dyDescent="0.3">
      <c r="A17" s="12"/>
      <c r="B17" s="42"/>
      <c r="C17" s="84"/>
      <c r="D17" s="85"/>
      <c r="E17" s="85"/>
      <c r="F17" s="12"/>
      <c r="H17" s="8"/>
    </row>
    <row r="18" spans="1:10" s="2" customFormat="1" ht="14.25" customHeight="1" x14ac:dyDescent="0.3">
      <c r="A18" s="12"/>
      <c r="B18" s="42"/>
      <c r="C18" s="84"/>
      <c r="D18" s="85"/>
      <c r="E18" s="85"/>
      <c r="F18" s="12"/>
      <c r="H18" s="8"/>
    </row>
    <row r="19" spans="1:10" s="2" customFormat="1" ht="14.25" customHeight="1" x14ac:dyDescent="0.3">
      <c r="A19" s="12"/>
      <c r="B19" s="42"/>
      <c r="C19" s="84"/>
      <c r="D19" s="85"/>
      <c r="E19" s="85"/>
      <c r="F19" s="12"/>
      <c r="H19" s="8"/>
    </row>
    <row r="20" spans="1:10" s="2" customFormat="1" ht="14.25" customHeight="1" x14ac:dyDescent="0.3">
      <c r="A20" s="12"/>
      <c r="B20" s="42"/>
      <c r="C20" s="84"/>
      <c r="D20" s="85"/>
      <c r="E20" s="85"/>
      <c r="F20" s="12"/>
    </row>
    <row r="21" spans="1:10" s="2" customFormat="1" ht="14.25" customHeight="1" x14ac:dyDescent="0.3">
      <c r="A21" s="12"/>
      <c r="B21" s="42"/>
      <c r="C21" s="84"/>
      <c r="D21" s="85"/>
      <c r="E21" s="85"/>
      <c r="F21" s="12"/>
    </row>
    <row r="22" spans="1:10" s="2" customFormat="1" ht="14.25" customHeight="1" x14ac:dyDescent="0.3">
      <c r="A22" s="12"/>
      <c r="B22" s="42"/>
      <c r="C22" s="84"/>
      <c r="D22" s="85"/>
      <c r="E22" s="85"/>
      <c r="F22" s="12"/>
    </row>
    <row r="23" spans="1:10" s="2" customFormat="1" ht="14.25" customHeight="1" x14ac:dyDescent="0.3">
      <c r="A23" s="12"/>
      <c r="B23" s="42"/>
      <c r="C23" s="84"/>
      <c r="D23" s="85"/>
      <c r="E23" s="85"/>
      <c r="F23" s="12"/>
    </row>
    <row r="24" spans="1:10" s="2" customFormat="1" ht="14.25" customHeight="1" x14ac:dyDescent="0.3">
      <c r="A24" s="12"/>
      <c r="B24" s="42"/>
      <c r="C24" s="84"/>
      <c r="D24" s="85"/>
      <c r="E24" s="85"/>
      <c r="F24" s="12"/>
    </row>
    <row r="25" spans="1:10" s="2" customFormat="1" ht="14.25" customHeight="1" x14ac:dyDescent="0.3">
      <c r="A25" s="12"/>
      <c r="B25" s="42"/>
      <c r="C25" s="84"/>
      <c r="D25" s="85"/>
      <c r="E25" s="85"/>
      <c r="F25" s="12"/>
    </row>
    <row r="26" spans="1:10" s="2" customFormat="1" ht="14.25" customHeight="1" x14ac:dyDescent="0.3">
      <c r="A26" s="12"/>
      <c r="B26" s="42"/>
      <c r="C26" s="84"/>
      <c r="D26" s="85"/>
      <c r="E26" s="85"/>
      <c r="F26" s="12"/>
    </row>
    <row r="27" spans="1:10" s="2" customFormat="1" ht="14.25" customHeight="1" x14ac:dyDescent="0.3">
      <c r="A27" s="12"/>
      <c r="B27" s="42"/>
      <c r="C27" s="84"/>
      <c r="D27" s="85"/>
      <c r="E27" s="85"/>
      <c r="F27" s="12"/>
    </row>
    <row r="28" spans="1:10" s="2" customFormat="1" ht="14.25" customHeight="1" x14ac:dyDescent="0.3">
      <c r="A28" s="12"/>
      <c r="B28" s="42"/>
      <c r="C28" s="84"/>
      <c r="D28" s="85"/>
      <c r="E28" s="85"/>
      <c r="F28" s="12"/>
    </row>
    <row r="29" spans="1:10" s="2" customFormat="1" ht="14.25" customHeight="1" x14ac:dyDescent="0.3">
      <c r="A29" s="12"/>
      <c r="B29" s="42"/>
      <c r="C29" s="84"/>
      <c r="D29" s="85"/>
      <c r="E29" s="85"/>
      <c r="F29" s="14"/>
      <c r="G29"/>
      <c r="H29"/>
      <c r="I29"/>
      <c r="J29"/>
    </row>
    <row r="30" spans="1:10" ht="14.25" customHeight="1" x14ac:dyDescent="0.3">
      <c r="A30" s="12"/>
      <c r="B30" s="42"/>
      <c r="C30" s="84"/>
      <c r="D30" s="85"/>
      <c r="E30" s="85"/>
      <c r="F30" s="14"/>
    </row>
    <row r="31" spans="1:10" ht="14.25" customHeight="1" x14ac:dyDescent="0.3">
      <c r="A31" s="12"/>
      <c r="B31" s="42"/>
      <c r="C31" s="84"/>
      <c r="D31" s="85"/>
      <c r="E31" s="85"/>
      <c r="F31" s="14"/>
    </row>
    <row r="32" spans="1:10" ht="14.25" customHeight="1" x14ac:dyDescent="0.3">
      <c r="A32" s="12"/>
      <c r="B32" s="42"/>
      <c r="C32" s="84"/>
      <c r="D32" s="85"/>
      <c r="E32" s="85"/>
      <c r="F32" s="14"/>
    </row>
    <row r="33" spans="1:6" ht="14.25" customHeight="1" x14ac:dyDescent="0.3">
      <c r="A33" s="12"/>
      <c r="B33" s="42"/>
      <c r="C33" s="84"/>
      <c r="D33" s="85"/>
      <c r="E33" s="85"/>
      <c r="F33" s="14"/>
    </row>
    <row r="34" spans="1:6" ht="14.25" customHeight="1" x14ac:dyDescent="0.3">
      <c r="A34" s="12"/>
      <c r="B34" s="42"/>
      <c r="C34" s="84"/>
      <c r="D34" s="85"/>
      <c r="E34" s="85"/>
      <c r="F34" s="14"/>
    </row>
    <row r="35" spans="1:6" ht="14.25" customHeight="1" x14ac:dyDescent="0.3">
      <c r="A35" s="14"/>
      <c r="B35" s="42"/>
      <c r="C35" s="84"/>
      <c r="D35" s="85"/>
      <c r="E35" s="85"/>
      <c r="F35" s="14"/>
    </row>
    <row r="36" spans="1:6" ht="14.25" customHeight="1" x14ac:dyDescent="0.3">
      <c r="A36" s="14"/>
      <c r="B36" s="42"/>
      <c r="C36" s="84"/>
      <c r="D36" s="85"/>
      <c r="E36" s="85"/>
      <c r="F36" s="14"/>
    </row>
    <row r="37" spans="1:6" ht="14.25" customHeight="1" x14ac:dyDescent="0.3">
      <c r="A37" s="14"/>
      <c r="B37" s="42"/>
      <c r="C37" s="84"/>
      <c r="D37" s="85"/>
      <c r="E37" s="85"/>
      <c r="F37" s="14"/>
    </row>
    <row r="38" spans="1:6" ht="14.25" customHeight="1" x14ac:dyDescent="0.3">
      <c r="A38" s="14"/>
      <c r="B38" s="42"/>
      <c r="C38" s="84"/>
      <c r="D38" s="85"/>
      <c r="E38" s="85"/>
      <c r="F38" s="14"/>
    </row>
    <row r="39" spans="1:6" ht="14.25" customHeight="1" x14ac:dyDescent="0.3">
      <c r="A39" s="14"/>
      <c r="B39" s="42"/>
      <c r="C39" s="84"/>
      <c r="D39" s="85"/>
      <c r="E39" s="85"/>
      <c r="F39" s="14"/>
    </row>
    <row r="40" spans="1:6" ht="14.25" customHeight="1" x14ac:dyDescent="0.3">
      <c r="A40" s="14"/>
      <c r="B40" s="42"/>
      <c r="C40" s="84"/>
      <c r="D40" s="85"/>
      <c r="E40" s="85"/>
      <c r="F40" s="14"/>
    </row>
    <row r="41" spans="1:6" ht="14.25" customHeight="1" x14ac:dyDescent="0.3">
      <c r="A41" s="14"/>
      <c r="B41" s="42"/>
      <c r="C41" s="84"/>
      <c r="D41" s="85"/>
      <c r="E41" s="85"/>
      <c r="F41" s="14"/>
    </row>
    <row r="42" spans="1:6" ht="14.25" customHeight="1" x14ac:dyDescent="0.3">
      <c r="A42" s="14"/>
      <c r="B42" s="42"/>
      <c r="C42" s="84"/>
      <c r="D42" s="85"/>
      <c r="E42" s="85"/>
      <c r="F42" s="14"/>
    </row>
    <row r="43" spans="1:6" ht="14.25" customHeight="1" x14ac:dyDescent="0.3">
      <c r="A43" s="14"/>
      <c r="B43" s="42"/>
      <c r="C43" s="84"/>
      <c r="D43" s="85"/>
      <c r="E43" s="85"/>
      <c r="F43" s="14"/>
    </row>
    <row r="44" spans="1:6" ht="14.25" customHeight="1" x14ac:dyDescent="0.3">
      <c r="A44" s="14"/>
      <c r="B44" s="42"/>
      <c r="C44" s="84"/>
      <c r="D44" s="85"/>
      <c r="E44" s="85"/>
      <c r="F44" s="14"/>
    </row>
    <row r="45" spans="1:6" ht="14.25" customHeight="1" x14ac:dyDescent="0.3">
      <c r="A45" s="14"/>
      <c r="B45" s="42"/>
      <c r="C45" s="84"/>
      <c r="D45" s="85"/>
      <c r="E45" s="85"/>
    </row>
    <row r="46" spans="1:6" ht="14.25" customHeight="1" x14ac:dyDescent="0.3">
      <c r="A46" s="14"/>
      <c r="B46" s="42"/>
      <c r="C46" s="84"/>
      <c r="D46" s="85"/>
      <c r="E46" s="85"/>
    </row>
    <row r="47" spans="1:6" ht="14.25" customHeight="1" x14ac:dyDescent="0.3">
      <c r="A47" s="14"/>
      <c r="B47" s="42"/>
      <c r="C47" s="84"/>
      <c r="D47" s="85"/>
      <c r="E47" s="85"/>
    </row>
    <row r="48" spans="1:6" ht="14.25" customHeight="1" x14ac:dyDescent="0.3">
      <c r="A48" s="14"/>
      <c r="B48" s="42"/>
      <c r="C48" s="84"/>
      <c r="D48" s="85"/>
      <c r="E48" s="85"/>
    </row>
    <row r="49" spans="1:5" ht="14.25" customHeight="1" x14ac:dyDescent="0.3">
      <c r="A49" s="14"/>
      <c r="B49" s="42"/>
      <c r="C49" s="84"/>
      <c r="D49" s="85"/>
      <c r="E49" s="85"/>
    </row>
    <row r="50" spans="1:5" ht="14.25" customHeight="1" x14ac:dyDescent="0.3">
      <c r="A50" s="14"/>
      <c r="B50" s="42"/>
      <c r="C50" s="84"/>
      <c r="D50" s="85"/>
      <c r="E50" s="85"/>
    </row>
    <row r="51" spans="1:5" ht="14.25" customHeight="1" x14ac:dyDescent="0.3">
      <c r="B51" s="42"/>
      <c r="C51" s="84"/>
      <c r="D51" s="85"/>
      <c r="E51" s="85"/>
    </row>
    <row r="52" spans="1:5" ht="14.25" customHeight="1" x14ac:dyDescent="0.3">
      <c r="B52" s="42"/>
      <c r="C52" s="84"/>
      <c r="D52" s="85"/>
      <c r="E52" s="85"/>
    </row>
    <row r="53" spans="1:5" ht="14.25" customHeight="1" x14ac:dyDescent="0.3">
      <c r="B53" s="42"/>
      <c r="C53" s="84"/>
      <c r="D53" s="85"/>
      <c r="E53" s="85"/>
    </row>
    <row r="54" spans="1:5" ht="14.25" customHeight="1" x14ac:dyDescent="0.3">
      <c r="B54" s="42"/>
      <c r="C54" s="84"/>
      <c r="D54" s="85"/>
      <c r="E54" s="85"/>
    </row>
    <row r="55" spans="1:5" ht="14.25" customHeight="1" x14ac:dyDescent="0.3">
      <c r="B55" s="42"/>
      <c r="C55" s="84"/>
      <c r="D55" s="85"/>
      <c r="E55" s="85"/>
    </row>
    <row r="56" spans="1:5" ht="14.25" customHeight="1" x14ac:dyDescent="0.3">
      <c r="B56" s="42"/>
      <c r="C56" s="84"/>
      <c r="D56" s="85"/>
      <c r="E56" s="85"/>
    </row>
    <row r="57" spans="1:5" ht="14.25" customHeight="1" x14ac:dyDescent="0.3">
      <c r="B57" s="42"/>
      <c r="C57" s="84"/>
      <c r="D57" s="85"/>
      <c r="E57" s="85"/>
    </row>
    <row r="58" spans="1:5" ht="14.25" customHeight="1" x14ac:dyDescent="0.3">
      <c r="B58" s="42"/>
      <c r="C58" s="84"/>
      <c r="D58" s="85"/>
      <c r="E58" s="85"/>
    </row>
    <row r="59" spans="1:5" ht="14.25" customHeight="1" x14ac:dyDescent="0.3">
      <c r="B59" s="42"/>
      <c r="C59" s="84"/>
      <c r="D59" s="85"/>
      <c r="E59" s="85"/>
    </row>
    <row r="60" spans="1:5" ht="14.25" customHeight="1" x14ac:dyDescent="0.3">
      <c r="B60" s="42"/>
      <c r="C60" s="84"/>
      <c r="D60" s="85"/>
      <c r="E60" s="85"/>
    </row>
    <row r="61" spans="1:5" ht="14.25" customHeight="1" x14ac:dyDescent="0.3">
      <c r="B61" s="42"/>
      <c r="C61" s="84"/>
      <c r="D61" s="85"/>
      <c r="E61" s="85"/>
    </row>
    <row r="62" spans="1:5" ht="14.25" customHeight="1" x14ac:dyDescent="0.3">
      <c r="B62" s="42"/>
      <c r="C62" s="84"/>
      <c r="D62" s="85"/>
      <c r="E62" s="85"/>
    </row>
    <row r="63" spans="1:5" ht="14.25" customHeight="1" x14ac:dyDescent="0.3">
      <c r="B63" s="42"/>
      <c r="C63" s="84"/>
      <c r="D63" s="85"/>
      <c r="E63" s="85"/>
    </row>
    <row r="64" spans="1:5" ht="14.25" customHeight="1" x14ac:dyDescent="0.3">
      <c r="B64" s="42"/>
      <c r="C64" s="84"/>
      <c r="D64" s="85"/>
      <c r="E64" s="85"/>
    </row>
    <row r="65" spans="2:5" ht="14.25" customHeight="1" x14ac:dyDescent="0.3">
      <c r="B65" s="42"/>
      <c r="C65" s="84"/>
      <c r="D65" s="85"/>
      <c r="E65" s="85"/>
    </row>
    <row r="66" spans="2:5" ht="14.25" customHeight="1" x14ac:dyDescent="0.3">
      <c r="B66" s="42"/>
      <c r="C66" s="84"/>
      <c r="D66" s="85"/>
      <c r="E66" s="85"/>
    </row>
    <row r="67" spans="2:5" ht="14.25" customHeight="1" x14ac:dyDescent="0.3">
      <c r="B67" s="42"/>
      <c r="C67" s="84"/>
      <c r="D67" s="85"/>
      <c r="E67" s="85"/>
    </row>
    <row r="68" spans="2:5" ht="14.25" customHeight="1" x14ac:dyDescent="0.3">
      <c r="B68" s="42"/>
      <c r="C68" s="84"/>
      <c r="D68" s="85"/>
      <c r="E68" s="85"/>
    </row>
    <row r="69" spans="2:5" ht="14.25" customHeight="1" x14ac:dyDescent="0.3">
      <c r="B69" s="42"/>
      <c r="C69" s="84"/>
      <c r="D69" s="85"/>
      <c r="E69" s="85"/>
    </row>
    <row r="70" spans="2:5" ht="14.25" customHeight="1" x14ac:dyDescent="0.3">
      <c r="B70" s="42"/>
      <c r="C70" s="84"/>
      <c r="D70" s="85"/>
      <c r="E70" s="85"/>
    </row>
    <row r="71" spans="2:5" ht="14.25" customHeight="1" x14ac:dyDescent="0.3">
      <c r="B71" s="42"/>
      <c r="C71" s="84"/>
      <c r="D71" s="85"/>
      <c r="E71" s="85"/>
    </row>
    <row r="72" spans="2:5" ht="14.25" customHeight="1" x14ac:dyDescent="0.3">
      <c r="B72" s="42"/>
      <c r="C72" s="84"/>
      <c r="D72" s="85"/>
      <c r="E72" s="85"/>
    </row>
    <row r="73" spans="2:5" ht="14.25" customHeight="1" x14ac:dyDescent="0.3">
      <c r="B73" s="42"/>
      <c r="C73" s="84"/>
      <c r="D73" s="85"/>
      <c r="E73" s="85"/>
    </row>
    <row r="74" spans="2:5" ht="14.25" customHeight="1" x14ac:dyDescent="0.3">
      <c r="B74" s="42"/>
      <c r="C74" s="84"/>
      <c r="D74" s="85"/>
      <c r="E74" s="85"/>
    </row>
    <row r="75" spans="2:5" ht="14.25" customHeight="1" x14ac:dyDescent="0.3">
      <c r="B75" s="42"/>
      <c r="C75" s="84"/>
      <c r="D75" s="85"/>
      <c r="E75" s="85"/>
    </row>
    <row r="76" spans="2:5" ht="14.25" customHeight="1" x14ac:dyDescent="0.3">
      <c r="B76" s="42"/>
      <c r="C76" s="84"/>
      <c r="D76" s="85"/>
      <c r="E76" s="85"/>
    </row>
    <row r="77" spans="2:5" ht="14.25" customHeight="1" x14ac:dyDescent="0.3">
      <c r="B77" s="42"/>
      <c r="C77" s="84"/>
      <c r="D77" s="85"/>
      <c r="E77" s="85"/>
    </row>
    <row r="78" spans="2:5" ht="14.25" customHeight="1" x14ac:dyDescent="0.3">
      <c r="B78" s="42"/>
      <c r="C78" s="84"/>
      <c r="D78" s="85"/>
      <c r="E78" s="85"/>
    </row>
    <row r="79" spans="2:5" ht="14.25" customHeight="1" x14ac:dyDescent="0.3">
      <c r="B79" s="42"/>
      <c r="C79" s="84"/>
      <c r="D79" s="85"/>
      <c r="E79" s="85"/>
    </row>
    <row r="80" spans="2:5" ht="14.25" customHeight="1" x14ac:dyDescent="0.3">
      <c r="B80" s="42"/>
      <c r="C80" s="84"/>
      <c r="D80" s="85"/>
      <c r="E80" s="85"/>
    </row>
    <row r="81" spans="2:5" ht="14.25" customHeight="1" x14ac:dyDescent="0.3">
      <c r="B81" s="42"/>
      <c r="C81" s="84"/>
      <c r="D81" s="85"/>
      <c r="E81" s="85"/>
    </row>
    <row r="82" spans="2:5" ht="14.25" customHeight="1" x14ac:dyDescent="0.3">
      <c r="B82" s="42"/>
      <c r="C82" s="84"/>
      <c r="D82" s="85"/>
      <c r="E82" s="85"/>
    </row>
    <row r="83" spans="2:5" ht="14.25" customHeight="1" x14ac:dyDescent="0.3">
      <c r="B83" s="42"/>
      <c r="C83" s="84"/>
      <c r="D83" s="85"/>
      <c r="E83" s="85"/>
    </row>
    <row r="84" spans="2:5" ht="14.25" customHeight="1" x14ac:dyDescent="0.3">
      <c r="B84" s="42"/>
      <c r="C84" s="84"/>
      <c r="D84" s="85"/>
      <c r="E84" s="85"/>
    </row>
    <row r="85" spans="2:5" ht="14.25" customHeight="1" x14ac:dyDescent="0.3">
      <c r="B85" s="42"/>
      <c r="C85" s="84"/>
      <c r="D85" s="85"/>
      <c r="E85" s="85"/>
    </row>
    <row r="86" spans="2:5" ht="14.25" customHeight="1" x14ac:dyDescent="0.3">
      <c r="B86" s="42"/>
      <c r="C86" s="84"/>
      <c r="D86" s="85"/>
      <c r="E86" s="85"/>
    </row>
    <row r="87" spans="2:5" ht="14.25" customHeight="1" x14ac:dyDescent="0.3">
      <c r="B87" s="42"/>
      <c r="C87" s="84"/>
      <c r="D87" s="85"/>
      <c r="E87" s="85"/>
    </row>
    <row r="88" spans="2:5" ht="14.25" customHeight="1" x14ac:dyDescent="0.3">
      <c r="B88" s="42"/>
      <c r="C88" s="84"/>
      <c r="D88" s="85"/>
      <c r="E88" s="85"/>
    </row>
    <row r="89" spans="2:5" ht="14.25" customHeight="1" x14ac:dyDescent="0.3">
      <c r="B89" s="42"/>
      <c r="C89" s="84"/>
      <c r="D89" s="85"/>
      <c r="E89" s="85"/>
    </row>
    <row r="90" spans="2:5" ht="14.25" customHeight="1" x14ac:dyDescent="0.3">
      <c r="B90" s="42"/>
      <c r="C90" s="84"/>
      <c r="D90" s="85"/>
      <c r="E90" s="85"/>
    </row>
    <row r="91" spans="2:5" ht="14.25" customHeight="1" x14ac:dyDescent="0.3">
      <c r="B91" s="42"/>
      <c r="C91" s="84"/>
      <c r="D91" s="85"/>
      <c r="E91" s="85"/>
    </row>
    <row r="92" spans="2:5" ht="14.25" customHeight="1" x14ac:dyDescent="0.3">
      <c r="B92" s="42"/>
      <c r="C92" s="84"/>
      <c r="D92" s="85"/>
      <c r="E92" s="85"/>
    </row>
    <row r="93" spans="2:5" ht="14.25" customHeight="1" x14ac:dyDescent="0.3">
      <c r="B93" s="42"/>
      <c r="C93" s="84"/>
      <c r="D93" s="85"/>
      <c r="E93" s="85"/>
    </row>
    <row r="94" spans="2:5" ht="14.25" customHeight="1" x14ac:dyDescent="0.3">
      <c r="B94" s="42"/>
      <c r="C94" s="84"/>
      <c r="D94" s="85"/>
      <c r="E94" s="85"/>
    </row>
    <row r="95" spans="2:5" ht="14.25" customHeight="1" x14ac:dyDescent="0.3">
      <c r="B95" s="42"/>
      <c r="C95" s="84"/>
      <c r="D95" s="85"/>
      <c r="E95" s="85"/>
    </row>
    <row r="96" spans="2:5" ht="14.25" customHeight="1" x14ac:dyDescent="0.3">
      <c r="B96" s="42"/>
      <c r="C96" s="84"/>
      <c r="D96" s="85"/>
      <c r="E96" s="85"/>
    </row>
    <row r="97" spans="2:5" ht="14.25" customHeight="1" x14ac:dyDescent="0.3">
      <c r="B97" s="42"/>
      <c r="C97" s="84"/>
      <c r="D97" s="85"/>
      <c r="E97" s="85"/>
    </row>
    <row r="98" spans="2:5" ht="14.25" customHeight="1" x14ac:dyDescent="0.3">
      <c r="B98" s="42"/>
      <c r="C98" s="84"/>
      <c r="D98" s="85"/>
      <c r="E98" s="85"/>
    </row>
    <row r="99" spans="2:5" ht="14.25" customHeight="1" x14ac:dyDescent="0.3">
      <c r="B99" s="42"/>
      <c r="C99" s="84"/>
      <c r="D99" s="85"/>
      <c r="E99" s="85"/>
    </row>
    <row r="100" spans="2:5" ht="14.25" customHeight="1" x14ac:dyDescent="0.3">
      <c r="B100" s="42"/>
      <c r="C100" s="84"/>
      <c r="D100" s="85"/>
      <c r="E100" s="85"/>
    </row>
    <row r="101" spans="2:5" ht="14.25" customHeight="1" x14ac:dyDescent="0.3">
      <c r="B101" s="42"/>
      <c r="C101" s="84"/>
      <c r="D101" s="85"/>
      <c r="E101" s="85"/>
    </row>
    <row r="102" spans="2:5" ht="14.25" customHeight="1" x14ac:dyDescent="0.3">
      <c r="B102" s="42"/>
      <c r="C102" s="84"/>
      <c r="D102" s="85"/>
      <c r="E102" s="85"/>
    </row>
    <row r="103" spans="2:5" ht="14.25" customHeight="1" x14ac:dyDescent="0.3">
      <c r="B103" s="42"/>
      <c r="C103" s="84"/>
      <c r="D103" s="85"/>
      <c r="E103" s="85"/>
    </row>
    <row r="104" spans="2:5" ht="14.25" customHeight="1" x14ac:dyDescent="0.3">
      <c r="B104" s="42"/>
      <c r="C104" s="84"/>
      <c r="D104" s="85"/>
      <c r="E104" s="85"/>
    </row>
    <row r="105" spans="2:5" ht="14.25" customHeight="1" x14ac:dyDescent="0.3">
      <c r="B105" s="42"/>
      <c r="C105" s="84"/>
      <c r="D105" s="85"/>
      <c r="E105" s="85"/>
    </row>
    <row r="106" spans="2:5" ht="14.25" customHeight="1" x14ac:dyDescent="0.3">
      <c r="B106" s="42"/>
      <c r="C106" s="84"/>
      <c r="D106" s="85"/>
      <c r="E106" s="85"/>
    </row>
    <row r="107" spans="2:5" ht="14.25" customHeight="1" x14ac:dyDescent="0.3">
      <c r="B107" s="42"/>
      <c r="C107" s="84"/>
      <c r="D107" s="85"/>
      <c r="E107" s="85"/>
    </row>
    <row r="108" spans="2:5" ht="14.25" customHeight="1" x14ac:dyDescent="0.3">
      <c r="B108" s="42"/>
      <c r="C108" s="84"/>
      <c r="D108" s="85"/>
      <c r="E108" s="85"/>
    </row>
    <row r="109" spans="2:5" ht="14.25" customHeight="1" x14ac:dyDescent="0.3">
      <c r="B109" s="42"/>
      <c r="C109" s="84"/>
      <c r="D109" s="85"/>
      <c r="E109" s="85"/>
    </row>
    <row r="110" spans="2:5" ht="14.25" customHeight="1" x14ac:dyDescent="0.3">
      <c r="B110" s="42"/>
      <c r="C110" s="84"/>
      <c r="D110" s="85"/>
      <c r="E110" s="85"/>
    </row>
    <row r="111" spans="2:5" ht="14.25" customHeight="1" x14ac:dyDescent="0.3">
      <c r="B111" s="42"/>
      <c r="C111" s="84"/>
      <c r="D111" s="85"/>
      <c r="E111" s="85"/>
    </row>
    <row r="112" spans="2:5" ht="14.25" customHeight="1" x14ac:dyDescent="0.3">
      <c r="B112" s="42"/>
      <c r="C112" s="84"/>
      <c r="D112" s="85"/>
      <c r="E112" s="85"/>
    </row>
    <row r="113" spans="2:5" ht="14.25" customHeight="1" x14ac:dyDescent="0.3">
      <c r="B113" s="42"/>
      <c r="C113" s="84"/>
      <c r="D113" s="85"/>
      <c r="E113" s="85"/>
    </row>
    <row r="114" spans="2:5" ht="14.25" customHeight="1" x14ac:dyDescent="0.3">
      <c r="B114" s="42"/>
      <c r="C114" s="84"/>
      <c r="D114" s="85"/>
      <c r="E114" s="85"/>
    </row>
    <row r="115" spans="2:5" ht="14.25" customHeight="1" x14ac:dyDescent="0.3">
      <c r="B115" s="42"/>
      <c r="C115" s="84"/>
      <c r="D115" s="85"/>
      <c r="E115" s="85"/>
    </row>
    <row r="116" spans="2:5" x14ac:dyDescent="0.3">
      <c r="B116" s="42"/>
      <c r="C116" s="84"/>
      <c r="D116" s="85"/>
      <c r="E116" s="85"/>
    </row>
    <row r="117" spans="2:5" x14ac:dyDescent="0.3">
      <c r="B117" s="42"/>
      <c r="C117" s="84"/>
      <c r="D117" s="85"/>
      <c r="E117" s="85"/>
    </row>
    <row r="118" spans="2:5" x14ac:dyDescent="0.3">
      <c r="B118" s="42"/>
      <c r="C118" s="84"/>
      <c r="D118" s="85"/>
      <c r="E118" s="85"/>
    </row>
    <row r="119" spans="2:5" x14ac:dyDescent="0.3">
      <c r="B119" s="42"/>
      <c r="C119" s="84"/>
      <c r="D119" s="85"/>
      <c r="E119" s="85"/>
    </row>
  </sheetData>
  <sheetProtection password="CAC7" sheet="1" objects="1" scenarios="1"/>
  <pageMargins left="0.7" right="0.7" top="0.75" bottom="0.75" header="0.3" footer="0.3"/>
  <pageSetup scale="60" orientation="landscape" r:id="rId1"/>
  <drawing r:id="rId2"/>
  <legacyDrawing r:id="rId3"/>
  <extLst>
    <ext xmlns:x14="http://schemas.microsoft.com/office/spreadsheetml/2009/9/main" uri="{CCE6A557-97BC-4b89-ADB6-D9C93CAAB3DF}">
      <x14:dataValidations xmlns:xm="http://schemas.microsoft.com/office/excel/2006/main" xWindow="512" yWindow="412" count="1">
        <x14:dataValidation type="custom" allowBlank="1" showInputMessage="1" showErrorMessage="1" error="Cash Amount must be entered as a positive value.  _x000a__x000a_If Funding Source is set to 'Securities Only' Cash Amount not allowed.  " prompt="Populate only when Funding Source is 'Cash &amp; Securities' or 'Cash Only'" xr:uid="{00000000-0002-0000-0100-000000000000}">
          <x14:formula1>
            <xm:f>AND(Input!C11&lt;&gt;"Securities Only", ISNUMBER(C7), C7&gt;=0, C7&lt;=100000000000)</xm:f>
          </x14:formula1>
          <xm:sqref>C7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7"/>
  </sheetPr>
  <dimension ref="A1:I373"/>
  <sheetViews>
    <sheetView showGridLines="0" showRowColHeaders="0" zoomScaleNormal="100" workbookViewId="0">
      <pane ySplit="7" topLeftCell="A8" activePane="bottomLeft" state="frozen"/>
      <selection pane="bottomLeft" activeCell="J15" sqref="J15"/>
    </sheetView>
  </sheetViews>
  <sheetFormatPr defaultColWidth="4" defaultRowHeight="15.75" x14ac:dyDescent="0.3"/>
  <cols>
    <col min="1" max="1" width="1.6640625" customWidth="1"/>
    <col min="2" max="3" width="27.33203125" customWidth="1"/>
    <col min="4" max="4" width="28.21875" hidden="1" customWidth="1"/>
    <col min="5" max="6" width="27.33203125" customWidth="1"/>
    <col min="7" max="7" width="1.44140625" customWidth="1"/>
    <col min="8" max="8" width="25.5546875" customWidth="1"/>
  </cols>
  <sheetData>
    <row r="1" spans="1:9" s="3" customFormat="1" ht="57" customHeight="1" x14ac:dyDescent="0.25">
      <c r="A1" s="5"/>
      <c r="B1" s="5"/>
      <c r="C1" s="5"/>
      <c r="D1" s="5"/>
      <c r="E1" s="5"/>
      <c r="F1" s="5"/>
      <c r="G1" s="5"/>
      <c r="H1" s="5"/>
    </row>
    <row r="2" spans="1:9" s="27" customFormat="1" ht="15" customHeight="1" x14ac:dyDescent="0.25">
      <c r="A2" s="26"/>
      <c r="B2" s="26"/>
      <c r="C2" s="26"/>
      <c r="D2" s="26"/>
      <c r="E2" s="26"/>
      <c r="F2" s="26"/>
      <c r="G2" s="26"/>
      <c r="H2" s="26"/>
    </row>
    <row r="3" spans="1:9" s="9" customFormat="1" ht="21.75" customHeight="1" x14ac:dyDescent="0.4">
      <c r="A3" s="11"/>
      <c r="B3" s="29" t="s">
        <v>195</v>
      </c>
      <c r="C3" s="11"/>
      <c r="D3" s="11"/>
      <c r="E3" s="11"/>
      <c r="F3" s="11"/>
      <c r="G3" s="11"/>
    </row>
    <row r="4" spans="1:9" s="2" customFormat="1" ht="15.75" customHeight="1" x14ac:dyDescent="0.3">
      <c r="A4" s="12"/>
      <c r="B4" s="12"/>
      <c r="C4" s="12"/>
      <c r="D4" s="12"/>
      <c r="E4" s="12"/>
      <c r="F4" s="12"/>
      <c r="G4" s="12"/>
    </row>
    <row r="5" spans="1:9" s="2" customFormat="1" ht="15.75" customHeight="1" x14ac:dyDescent="0.3">
      <c r="A5" s="12"/>
      <c r="B5" s="40" t="s">
        <v>218</v>
      </c>
      <c r="C5" s="82"/>
      <c r="D5" s="82"/>
      <c r="E5" s="82"/>
      <c r="F5" s="82"/>
      <c r="G5" s="13"/>
    </row>
    <row r="6" spans="1:9" s="2" customFormat="1" ht="15.75" customHeight="1" x14ac:dyDescent="0.4">
      <c r="A6" s="12"/>
      <c r="B6" s="14"/>
      <c r="C6" s="14"/>
      <c r="D6" s="14"/>
      <c r="E6" s="14"/>
      <c r="F6" s="14"/>
      <c r="G6" s="14"/>
      <c r="H6" s="75" t="s">
        <v>185</v>
      </c>
      <c r="I6" s="6"/>
    </row>
    <row r="7" spans="1:9" s="37" customFormat="1" ht="21.75" customHeight="1" x14ac:dyDescent="0.3">
      <c r="A7" s="30"/>
      <c r="B7" s="56" t="s">
        <v>15</v>
      </c>
      <c r="C7" s="56" t="s">
        <v>20</v>
      </c>
      <c r="D7" s="51" t="s">
        <v>192</v>
      </c>
      <c r="E7" s="56" t="s">
        <v>21</v>
      </c>
      <c r="F7" s="56" t="s">
        <v>22</v>
      </c>
      <c r="G7" s="58"/>
      <c r="H7" s="74"/>
    </row>
    <row r="8" spans="1:9" s="2" customFormat="1" ht="14.85" customHeight="1" x14ac:dyDescent="0.3">
      <c r="A8" s="12"/>
      <c r="B8" s="53"/>
      <c r="C8" s="53"/>
      <c r="D8" s="54"/>
      <c r="E8" s="55"/>
      <c r="F8" s="55"/>
      <c r="G8" s="14"/>
    </row>
    <row r="9" spans="1:9" s="2" customFormat="1" ht="14.85" customHeight="1" x14ac:dyDescent="0.3">
      <c r="A9" s="12"/>
      <c r="B9" s="42"/>
      <c r="C9" s="43"/>
      <c r="D9" s="43"/>
      <c r="E9" s="52"/>
      <c r="F9" s="52"/>
      <c r="G9" s="14"/>
    </row>
    <row r="10" spans="1:9" s="2" customFormat="1" ht="14.85" customHeight="1" x14ac:dyDescent="0.3">
      <c r="A10" s="12"/>
      <c r="B10" s="44"/>
      <c r="C10" s="45"/>
      <c r="D10" s="45"/>
      <c r="E10" s="59"/>
      <c r="F10" s="59"/>
      <c r="G10" s="12"/>
    </row>
    <row r="11" spans="1:9" s="2" customFormat="1" ht="14.85" customHeight="1" x14ac:dyDescent="0.3">
      <c r="A11" s="12"/>
      <c r="B11" s="46"/>
      <c r="C11" s="45"/>
      <c r="D11" s="45"/>
      <c r="E11" s="59"/>
      <c r="F11" s="59"/>
      <c r="G11" s="12"/>
    </row>
    <row r="12" spans="1:9" s="2" customFormat="1" ht="14.85" customHeight="1" x14ac:dyDescent="0.3">
      <c r="A12" s="12"/>
      <c r="B12" s="44"/>
      <c r="C12" s="45"/>
      <c r="D12" s="45"/>
      <c r="E12" s="59"/>
      <c r="F12" s="59"/>
      <c r="G12" s="12"/>
    </row>
    <row r="13" spans="1:9" s="2" customFormat="1" ht="14.85" customHeight="1" x14ac:dyDescent="0.3">
      <c r="A13" s="12"/>
      <c r="B13" s="44"/>
      <c r="C13" s="45"/>
      <c r="D13" s="45"/>
      <c r="E13" s="59"/>
      <c r="F13" s="59"/>
      <c r="G13" s="12"/>
    </row>
    <row r="14" spans="1:9" s="2" customFormat="1" ht="14.85" customHeight="1" x14ac:dyDescent="0.3">
      <c r="A14" s="12"/>
      <c r="B14" s="44"/>
      <c r="C14" s="45"/>
      <c r="D14" s="45"/>
      <c r="E14" s="59"/>
      <c r="F14" s="59"/>
      <c r="G14" s="12"/>
    </row>
    <row r="15" spans="1:9" s="2" customFormat="1" ht="14.85" customHeight="1" x14ac:dyDescent="0.3">
      <c r="A15" s="12"/>
      <c r="B15" s="46"/>
      <c r="C15" s="45"/>
      <c r="D15" s="45"/>
      <c r="E15" s="59"/>
      <c r="F15" s="59"/>
      <c r="G15" s="12"/>
    </row>
    <row r="16" spans="1:9" s="2" customFormat="1" ht="14.85" customHeight="1" x14ac:dyDescent="0.3">
      <c r="A16" s="12"/>
      <c r="B16" s="44"/>
      <c r="C16" s="45"/>
      <c r="D16" s="45"/>
      <c r="E16" s="59"/>
      <c r="F16" s="59"/>
      <c r="G16" s="12"/>
    </row>
    <row r="17" spans="1:7" s="2" customFormat="1" ht="14.85" customHeight="1" x14ac:dyDescent="0.3">
      <c r="A17" s="12"/>
      <c r="B17" s="44"/>
      <c r="C17" s="45"/>
      <c r="D17" s="45"/>
      <c r="E17" s="59"/>
      <c r="F17" s="59"/>
      <c r="G17" s="12"/>
    </row>
    <row r="18" spans="1:7" s="2" customFormat="1" ht="14.85" customHeight="1" x14ac:dyDescent="0.3">
      <c r="A18" s="12"/>
      <c r="B18" s="44"/>
      <c r="C18" s="45"/>
      <c r="D18" s="45"/>
      <c r="E18" s="59"/>
      <c r="F18" s="59"/>
      <c r="G18" s="12"/>
    </row>
    <row r="19" spans="1:7" s="2" customFormat="1" ht="14.85" customHeight="1" x14ac:dyDescent="0.3">
      <c r="A19" s="12"/>
      <c r="B19" s="44"/>
      <c r="C19" s="45"/>
      <c r="D19" s="45"/>
      <c r="E19" s="59"/>
      <c r="F19" s="59"/>
      <c r="G19" s="12"/>
    </row>
    <row r="20" spans="1:7" s="2" customFormat="1" ht="14.85" customHeight="1" x14ac:dyDescent="0.3">
      <c r="A20" s="12"/>
      <c r="B20" s="44"/>
      <c r="C20" s="45"/>
      <c r="D20" s="45"/>
      <c r="E20" s="59"/>
      <c r="F20" s="59"/>
      <c r="G20" s="12"/>
    </row>
    <row r="21" spans="1:7" s="2" customFormat="1" ht="14.85" customHeight="1" x14ac:dyDescent="0.3">
      <c r="A21" s="12"/>
      <c r="B21" s="44"/>
      <c r="C21" s="45"/>
      <c r="D21" s="45"/>
      <c r="E21" s="59"/>
      <c r="F21" s="59"/>
      <c r="G21" s="12"/>
    </row>
    <row r="22" spans="1:7" s="2" customFormat="1" ht="14.85" customHeight="1" x14ac:dyDescent="0.3">
      <c r="A22" s="12"/>
      <c r="B22" s="44"/>
      <c r="C22" s="45"/>
      <c r="D22" s="45"/>
      <c r="E22" s="59"/>
      <c r="F22" s="59"/>
      <c r="G22" s="12"/>
    </row>
    <row r="23" spans="1:7" s="2" customFormat="1" ht="14.85" customHeight="1" x14ac:dyDescent="0.3">
      <c r="A23" s="12"/>
      <c r="B23" s="44"/>
      <c r="C23" s="45"/>
      <c r="D23" s="45"/>
      <c r="E23" s="59"/>
      <c r="F23" s="59"/>
      <c r="G23" s="12"/>
    </row>
    <row r="24" spans="1:7" s="2" customFormat="1" ht="14.85" customHeight="1" x14ac:dyDescent="0.3">
      <c r="A24" s="12"/>
      <c r="B24" s="44"/>
      <c r="C24" s="45"/>
      <c r="D24" s="45"/>
      <c r="E24" s="59"/>
      <c r="F24" s="59"/>
      <c r="G24" s="12"/>
    </row>
    <row r="25" spans="1:7" s="2" customFormat="1" ht="14.85" customHeight="1" x14ac:dyDescent="0.3">
      <c r="A25" s="12"/>
      <c r="B25" s="44"/>
      <c r="C25" s="45"/>
      <c r="D25" s="45"/>
      <c r="E25" s="59"/>
      <c r="F25" s="59"/>
      <c r="G25" s="12"/>
    </row>
    <row r="26" spans="1:7" s="2" customFormat="1" ht="14.85" customHeight="1" x14ac:dyDescent="0.3">
      <c r="A26" s="12"/>
      <c r="B26" s="44"/>
      <c r="C26" s="45"/>
      <c r="D26" s="45"/>
      <c r="E26" s="59"/>
      <c r="F26" s="59"/>
      <c r="G26" s="12"/>
    </row>
    <row r="27" spans="1:7" s="2" customFormat="1" ht="14.85" customHeight="1" x14ac:dyDescent="0.3">
      <c r="A27" s="12"/>
      <c r="B27" s="44"/>
      <c r="C27" s="45"/>
      <c r="D27" s="45"/>
      <c r="E27" s="59"/>
      <c r="F27" s="59"/>
      <c r="G27" s="12"/>
    </row>
    <row r="28" spans="1:7" s="2" customFormat="1" ht="14.85" customHeight="1" x14ac:dyDescent="0.3">
      <c r="A28" s="12"/>
      <c r="B28" s="44"/>
      <c r="C28" s="45"/>
      <c r="D28" s="45"/>
      <c r="E28" s="59"/>
      <c r="F28" s="59"/>
      <c r="G28" s="12"/>
    </row>
    <row r="29" spans="1:7" ht="14.85" customHeight="1" x14ac:dyDescent="0.3">
      <c r="A29" s="14"/>
      <c r="B29" s="42"/>
      <c r="C29" s="43"/>
      <c r="D29" s="43"/>
      <c r="E29" s="52"/>
      <c r="F29" s="52"/>
      <c r="G29" s="14"/>
    </row>
    <row r="30" spans="1:7" ht="14.85" customHeight="1" x14ac:dyDescent="0.3">
      <c r="A30" s="14"/>
      <c r="B30" s="42"/>
      <c r="C30" s="43"/>
      <c r="D30" s="43"/>
      <c r="E30" s="52"/>
      <c r="F30" s="52"/>
      <c r="G30" s="14"/>
    </row>
    <row r="31" spans="1:7" ht="14.85" customHeight="1" x14ac:dyDescent="0.3">
      <c r="A31" s="14"/>
      <c r="B31" s="42"/>
      <c r="C31" s="43"/>
      <c r="D31" s="43"/>
      <c r="E31" s="52"/>
      <c r="F31" s="52"/>
      <c r="G31" s="14"/>
    </row>
    <row r="32" spans="1:7" ht="14.85" customHeight="1" x14ac:dyDescent="0.3">
      <c r="A32" s="14"/>
      <c r="B32" s="42"/>
      <c r="C32" s="43"/>
      <c r="D32" s="43"/>
      <c r="E32" s="52"/>
      <c r="F32" s="52"/>
      <c r="G32" s="14"/>
    </row>
    <row r="33" spans="1:7" ht="14.85" customHeight="1" x14ac:dyDescent="0.3">
      <c r="A33" s="14"/>
      <c r="B33" s="42"/>
      <c r="C33" s="43"/>
      <c r="D33" s="43"/>
      <c r="E33" s="52"/>
      <c r="F33" s="52"/>
      <c r="G33" s="14"/>
    </row>
    <row r="34" spans="1:7" ht="14.85" customHeight="1" x14ac:dyDescent="0.3">
      <c r="A34" s="14"/>
      <c r="B34" s="42"/>
      <c r="C34" s="43"/>
      <c r="D34" s="43"/>
      <c r="E34" s="52"/>
      <c r="F34" s="52"/>
      <c r="G34" s="14"/>
    </row>
    <row r="35" spans="1:7" ht="14.85" customHeight="1" x14ac:dyDescent="0.3">
      <c r="A35" s="14"/>
      <c r="B35" s="42"/>
      <c r="C35" s="43"/>
      <c r="D35" s="43"/>
      <c r="E35" s="52"/>
      <c r="F35" s="52"/>
      <c r="G35" s="14"/>
    </row>
    <row r="36" spans="1:7" ht="14.85" customHeight="1" x14ac:dyDescent="0.3">
      <c r="A36" s="14"/>
      <c r="B36" s="42"/>
      <c r="C36" s="43"/>
      <c r="D36" s="43"/>
      <c r="E36" s="52"/>
      <c r="F36" s="52"/>
      <c r="G36" s="14"/>
    </row>
    <row r="37" spans="1:7" ht="14.85" customHeight="1" x14ac:dyDescent="0.3">
      <c r="A37" s="14"/>
      <c r="B37" s="42"/>
      <c r="C37" s="43"/>
      <c r="D37" s="43"/>
      <c r="E37" s="52"/>
      <c r="F37" s="52"/>
      <c r="G37" s="14"/>
    </row>
    <row r="38" spans="1:7" ht="14.85" customHeight="1" x14ac:dyDescent="0.3">
      <c r="A38" s="14"/>
      <c r="B38" s="42"/>
      <c r="C38" s="43"/>
      <c r="D38" s="43"/>
      <c r="E38" s="52"/>
      <c r="F38" s="52"/>
      <c r="G38" s="14"/>
    </row>
    <row r="39" spans="1:7" ht="14.85" customHeight="1" x14ac:dyDescent="0.3">
      <c r="A39" s="14"/>
      <c r="B39" s="42"/>
      <c r="C39" s="43"/>
      <c r="D39" s="43"/>
      <c r="E39" s="52"/>
      <c r="F39" s="52"/>
      <c r="G39" s="14"/>
    </row>
    <row r="40" spans="1:7" ht="14.85" customHeight="1" x14ac:dyDescent="0.3">
      <c r="A40" s="14"/>
      <c r="B40" s="42"/>
      <c r="C40" s="43"/>
      <c r="D40" s="43"/>
      <c r="E40" s="52"/>
      <c r="F40" s="52"/>
      <c r="G40" s="14"/>
    </row>
    <row r="41" spans="1:7" ht="14.85" customHeight="1" x14ac:dyDescent="0.3">
      <c r="A41" s="14"/>
      <c r="B41" s="42"/>
      <c r="C41" s="43"/>
      <c r="D41" s="43"/>
      <c r="E41" s="52"/>
      <c r="F41" s="52"/>
      <c r="G41" s="14"/>
    </row>
    <row r="42" spans="1:7" ht="14.85" customHeight="1" x14ac:dyDescent="0.3">
      <c r="A42" s="14"/>
      <c r="B42" s="42"/>
      <c r="C42" s="43"/>
      <c r="D42" s="43"/>
      <c r="E42" s="52"/>
      <c r="F42" s="52"/>
      <c r="G42" s="14"/>
    </row>
    <row r="43" spans="1:7" ht="14.85" customHeight="1" x14ac:dyDescent="0.3">
      <c r="A43" s="14"/>
      <c r="B43" s="42"/>
      <c r="C43" s="43"/>
      <c r="D43" s="43"/>
      <c r="E43" s="52"/>
      <c r="F43" s="52"/>
      <c r="G43" s="14"/>
    </row>
    <row r="44" spans="1:7" ht="14.85" customHeight="1" x14ac:dyDescent="0.3">
      <c r="A44" s="14"/>
      <c r="B44" s="42"/>
      <c r="C44" s="43"/>
      <c r="D44" s="43"/>
      <c r="E44" s="52"/>
      <c r="F44" s="52"/>
      <c r="G44" s="14"/>
    </row>
    <row r="45" spans="1:7" ht="14.85" customHeight="1" x14ac:dyDescent="0.3">
      <c r="B45" s="47"/>
      <c r="C45" s="48"/>
      <c r="D45" s="48"/>
      <c r="E45" s="60"/>
      <c r="F45" s="60"/>
    </row>
    <row r="46" spans="1:7" ht="14.85" customHeight="1" x14ac:dyDescent="0.3">
      <c r="B46" s="47"/>
      <c r="C46" s="48"/>
      <c r="D46" s="48"/>
      <c r="E46" s="60"/>
      <c r="F46" s="60"/>
    </row>
    <row r="47" spans="1:7" ht="14.85" customHeight="1" x14ac:dyDescent="0.3">
      <c r="B47" s="47"/>
      <c r="C47" s="48"/>
      <c r="D47" s="48"/>
      <c r="E47" s="60"/>
      <c r="F47" s="60"/>
    </row>
    <row r="48" spans="1:7" ht="14.85" customHeight="1" x14ac:dyDescent="0.3">
      <c r="B48" s="47"/>
      <c r="C48" s="48"/>
      <c r="D48" s="48"/>
      <c r="E48" s="60"/>
      <c r="F48" s="60"/>
    </row>
    <row r="49" spans="2:6" ht="14.85" customHeight="1" x14ac:dyDescent="0.3">
      <c r="B49" s="47"/>
      <c r="C49" s="48"/>
      <c r="D49" s="48"/>
      <c r="E49" s="60"/>
      <c r="F49" s="60"/>
    </row>
    <row r="50" spans="2:6" ht="14.85" customHeight="1" x14ac:dyDescent="0.3">
      <c r="B50" s="47"/>
      <c r="C50" s="48"/>
      <c r="D50" s="48"/>
      <c r="E50" s="60"/>
      <c r="F50" s="60"/>
    </row>
    <row r="51" spans="2:6" ht="14.85" customHeight="1" x14ac:dyDescent="0.3">
      <c r="B51" s="47"/>
      <c r="C51" s="48"/>
      <c r="D51" s="48"/>
      <c r="E51" s="60"/>
      <c r="F51" s="60"/>
    </row>
    <row r="52" spans="2:6" ht="14.85" customHeight="1" x14ac:dyDescent="0.3">
      <c r="B52" s="47"/>
      <c r="C52" s="48"/>
      <c r="D52" s="48"/>
      <c r="E52" s="60"/>
      <c r="F52" s="60"/>
    </row>
    <row r="53" spans="2:6" ht="14.85" customHeight="1" x14ac:dyDescent="0.3">
      <c r="B53" s="47"/>
      <c r="C53" s="48"/>
      <c r="D53" s="48"/>
      <c r="E53" s="60"/>
      <c r="F53" s="60"/>
    </row>
    <row r="54" spans="2:6" ht="14.85" customHeight="1" x14ac:dyDescent="0.3">
      <c r="B54" s="47"/>
      <c r="C54" s="48"/>
      <c r="D54" s="48"/>
      <c r="E54" s="60"/>
      <c r="F54" s="60"/>
    </row>
    <row r="55" spans="2:6" ht="14.85" customHeight="1" x14ac:dyDescent="0.3">
      <c r="B55" s="47"/>
      <c r="C55" s="48"/>
      <c r="D55" s="48"/>
      <c r="E55" s="60"/>
      <c r="F55" s="60"/>
    </row>
    <row r="56" spans="2:6" ht="14.85" customHeight="1" x14ac:dyDescent="0.3">
      <c r="B56" s="47"/>
      <c r="C56" s="48"/>
      <c r="D56" s="48"/>
      <c r="E56" s="60"/>
      <c r="F56" s="60"/>
    </row>
    <row r="57" spans="2:6" ht="14.85" customHeight="1" x14ac:dyDescent="0.3">
      <c r="B57" s="49"/>
      <c r="C57" s="50"/>
      <c r="D57" s="50"/>
      <c r="E57" s="61"/>
      <c r="F57" s="61"/>
    </row>
    <row r="58" spans="2:6" ht="14.85" customHeight="1" x14ac:dyDescent="0.3">
      <c r="B58" s="49"/>
      <c r="C58" s="50"/>
      <c r="D58" s="50"/>
      <c r="E58" s="61"/>
      <c r="F58" s="61"/>
    </row>
    <row r="59" spans="2:6" ht="14.85" customHeight="1" x14ac:dyDescent="0.3">
      <c r="B59" s="49"/>
      <c r="C59" s="50"/>
      <c r="D59" s="50"/>
      <c r="E59" s="61"/>
      <c r="F59" s="61"/>
    </row>
    <row r="60" spans="2:6" ht="14.85" customHeight="1" x14ac:dyDescent="0.3">
      <c r="B60" s="49"/>
      <c r="C60" s="50"/>
      <c r="D60" s="50"/>
      <c r="E60" s="61"/>
      <c r="F60" s="61"/>
    </row>
    <row r="61" spans="2:6" ht="14.85" customHeight="1" x14ac:dyDescent="0.3">
      <c r="B61" s="49"/>
      <c r="C61" s="50"/>
      <c r="D61" s="50"/>
      <c r="E61" s="61"/>
      <c r="F61" s="61"/>
    </row>
    <row r="62" spans="2:6" ht="14.85" customHeight="1" x14ac:dyDescent="0.3">
      <c r="B62" s="49"/>
      <c r="C62" s="50"/>
      <c r="D62" s="50"/>
      <c r="E62" s="61"/>
      <c r="F62" s="61"/>
    </row>
    <row r="63" spans="2:6" ht="14.85" customHeight="1" x14ac:dyDescent="0.3">
      <c r="B63" s="49"/>
      <c r="C63" s="50"/>
      <c r="D63" s="50"/>
      <c r="E63" s="61"/>
      <c r="F63" s="61"/>
    </row>
    <row r="64" spans="2:6" ht="14.85" customHeight="1" x14ac:dyDescent="0.3">
      <c r="B64" s="49"/>
      <c r="C64" s="50"/>
      <c r="D64" s="50"/>
      <c r="E64" s="61"/>
      <c r="F64" s="61"/>
    </row>
    <row r="65" spans="2:6" ht="14.85" customHeight="1" x14ac:dyDescent="0.3">
      <c r="B65" s="49"/>
      <c r="C65" s="50"/>
      <c r="D65" s="50"/>
      <c r="E65" s="61"/>
      <c r="F65" s="61"/>
    </row>
    <row r="66" spans="2:6" ht="14.85" customHeight="1" x14ac:dyDescent="0.3">
      <c r="B66" s="49"/>
      <c r="C66" s="50"/>
      <c r="D66" s="50"/>
      <c r="E66" s="61"/>
      <c r="F66" s="61"/>
    </row>
    <row r="67" spans="2:6" ht="14.85" customHeight="1" x14ac:dyDescent="0.3">
      <c r="B67" s="49"/>
      <c r="C67" s="50"/>
      <c r="D67" s="50"/>
      <c r="E67" s="61"/>
      <c r="F67" s="61"/>
    </row>
    <row r="68" spans="2:6" ht="14.85" customHeight="1" x14ac:dyDescent="0.3">
      <c r="B68" s="49"/>
      <c r="C68" s="50"/>
      <c r="D68" s="50"/>
      <c r="E68" s="61"/>
      <c r="F68" s="61"/>
    </row>
    <row r="69" spans="2:6" ht="14.85" customHeight="1" x14ac:dyDescent="0.3">
      <c r="B69" s="49"/>
      <c r="C69" s="50"/>
      <c r="D69" s="50"/>
      <c r="E69" s="61"/>
      <c r="F69" s="61"/>
    </row>
    <row r="70" spans="2:6" ht="14.85" customHeight="1" x14ac:dyDescent="0.3">
      <c r="B70" s="49"/>
      <c r="C70" s="50"/>
      <c r="D70" s="50"/>
      <c r="E70" s="61"/>
      <c r="F70" s="61"/>
    </row>
    <row r="71" spans="2:6" ht="14.85" customHeight="1" x14ac:dyDescent="0.3">
      <c r="B71" s="49"/>
      <c r="C71" s="50"/>
      <c r="D71" s="50"/>
      <c r="E71" s="61"/>
      <c r="F71" s="61"/>
    </row>
    <row r="72" spans="2:6" ht="14.85" customHeight="1" x14ac:dyDescent="0.3">
      <c r="B72" s="49"/>
      <c r="C72" s="50"/>
      <c r="D72" s="50"/>
      <c r="E72" s="61"/>
      <c r="F72" s="61"/>
    </row>
    <row r="73" spans="2:6" ht="14.85" customHeight="1" x14ac:dyDescent="0.3">
      <c r="B73" s="49"/>
      <c r="C73" s="50"/>
      <c r="D73" s="50"/>
      <c r="E73" s="61"/>
      <c r="F73" s="61"/>
    </row>
    <row r="74" spans="2:6" ht="14.85" customHeight="1" x14ac:dyDescent="0.3">
      <c r="B74" s="49"/>
      <c r="C74" s="50"/>
      <c r="D74" s="50"/>
      <c r="E74" s="61"/>
      <c r="F74" s="61"/>
    </row>
    <row r="75" spans="2:6" ht="14.85" customHeight="1" x14ac:dyDescent="0.3">
      <c r="B75" s="49"/>
      <c r="C75" s="50"/>
      <c r="D75" s="50"/>
      <c r="E75" s="61"/>
      <c r="F75" s="61"/>
    </row>
    <row r="76" spans="2:6" ht="14.85" customHeight="1" x14ac:dyDescent="0.3">
      <c r="B76" s="49"/>
      <c r="C76" s="50"/>
      <c r="D76" s="50"/>
      <c r="E76" s="61"/>
      <c r="F76" s="61"/>
    </row>
    <row r="77" spans="2:6" ht="14.85" customHeight="1" x14ac:dyDescent="0.3">
      <c r="B77" s="49"/>
      <c r="C77" s="50"/>
      <c r="D77" s="50"/>
      <c r="E77" s="61"/>
      <c r="F77" s="61"/>
    </row>
    <row r="78" spans="2:6" ht="14.85" customHeight="1" x14ac:dyDescent="0.3">
      <c r="B78" s="49"/>
      <c r="C78" s="50"/>
      <c r="D78" s="50"/>
      <c r="E78" s="61"/>
      <c r="F78" s="61"/>
    </row>
    <row r="79" spans="2:6" ht="14.85" customHeight="1" x14ac:dyDescent="0.3">
      <c r="B79" s="49"/>
      <c r="C79" s="50"/>
      <c r="D79" s="50"/>
      <c r="E79" s="61"/>
      <c r="F79" s="61"/>
    </row>
    <row r="80" spans="2:6" ht="14.85" customHeight="1" x14ac:dyDescent="0.3">
      <c r="B80" s="49"/>
      <c r="C80" s="50"/>
      <c r="D80" s="50"/>
      <c r="E80" s="61"/>
      <c r="F80" s="61"/>
    </row>
    <row r="81" spans="2:6" ht="14.85" customHeight="1" x14ac:dyDescent="0.3">
      <c r="B81" s="49"/>
      <c r="C81" s="50"/>
      <c r="D81" s="50"/>
      <c r="E81" s="61"/>
      <c r="F81" s="61"/>
    </row>
    <row r="82" spans="2:6" ht="14.85" customHeight="1" x14ac:dyDescent="0.3">
      <c r="B82" s="49"/>
      <c r="C82" s="50"/>
      <c r="D82" s="50"/>
      <c r="E82" s="61"/>
      <c r="F82" s="61"/>
    </row>
    <row r="83" spans="2:6" ht="14.85" customHeight="1" x14ac:dyDescent="0.3">
      <c r="B83" s="49"/>
      <c r="C83" s="50"/>
      <c r="D83" s="50"/>
      <c r="E83" s="61"/>
      <c r="F83" s="61"/>
    </row>
    <row r="84" spans="2:6" ht="14.85" customHeight="1" x14ac:dyDescent="0.3">
      <c r="B84" s="49"/>
      <c r="C84" s="50"/>
      <c r="D84" s="50"/>
      <c r="E84" s="61"/>
      <c r="F84" s="61"/>
    </row>
    <row r="85" spans="2:6" ht="14.85" customHeight="1" x14ac:dyDescent="0.3">
      <c r="B85" s="49"/>
      <c r="C85" s="50"/>
      <c r="D85" s="50"/>
      <c r="E85" s="61"/>
      <c r="F85" s="61"/>
    </row>
    <row r="86" spans="2:6" ht="14.85" customHeight="1" x14ac:dyDescent="0.3">
      <c r="B86" s="49"/>
      <c r="C86" s="50"/>
      <c r="D86" s="50"/>
      <c r="E86" s="61"/>
      <c r="F86" s="61"/>
    </row>
    <row r="87" spans="2:6" ht="14.85" customHeight="1" x14ac:dyDescent="0.3">
      <c r="B87" s="49"/>
      <c r="C87" s="50"/>
      <c r="D87" s="50"/>
      <c r="E87" s="61"/>
      <c r="F87" s="61"/>
    </row>
    <row r="88" spans="2:6" ht="14.85" customHeight="1" x14ac:dyDescent="0.3">
      <c r="B88" s="49"/>
      <c r="C88" s="50"/>
      <c r="D88" s="50"/>
      <c r="E88" s="61"/>
      <c r="F88" s="61"/>
    </row>
    <row r="89" spans="2:6" ht="14.85" customHeight="1" x14ac:dyDescent="0.3">
      <c r="B89" s="49"/>
      <c r="C89" s="50"/>
      <c r="D89" s="50"/>
      <c r="E89" s="61"/>
      <c r="F89" s="61"/>
    </row>
    <row r="90" spans="2:6" ht="14.85" customHeight="1" x14ac:dyDescent="0.3">
      <c r="B90" s="49"/>
      <c r="C90" s="50"/>
      <c r="D90" s="50"/>
      <c r="E90" s="61"/>
      <c r="F90" s="61"/>
    </row>
    <row r="91" spans="2:6" ht="14.85" customHeight="1" x14ac:dyDescent="0.3">
      <c r="B91" s="49"/>
      <c r="C91" s="50"/>
      <c r="D91" s="50"/>
      <c r="E91" s="61"/>
      <c r="F91" s="61"/>
    </row>
    <row r="92" spans="2:6" ht="14.85" customHeight="1" x14ac:dyDescent="0.3">
      <c r="B92" s="49"/>
      <c r="C92" s="50"/>
      <c r="D92" s="50"/>
      <c r="E92" s="61"/>
      <c r="F92" s="61"/>
    </row>
    <row r="93" spans="2:6" ht="14.85" customHeight="1" x14ac:dyDescent="0.3">
      <c r="B93" s="49"/>
      <c r="C93" s="50"/>
      <c r="D93" s="50"/>
      <c r="E93" s="61"/>
      <c r="F93" s="61"/>
    </row>
    <row r="94" spans="2:6" ht="14.85" customHeight="1" x14ac:dyDescent="0.3">
      <c r="B94" s="49"/>
      <c r="C94" s="50"/>
      <c r="D94" s="50"/>
      <c r="E94" s="61"/>
      <c r="F94" s="61"/>
    </row>
    <row r="95" spans="2:6" ht="14.85" customHeight="1" x14ac:dyDescent="0.3">
      <c r="B95" s="49"/>
      <c r="C95" s="50"/>
      <c r="D95" s="50"/>
      <c r="E95" s="61"/>
      <c r="F95" s="61"/>
    </row>
    <row r="96" spans="2:6" ht="14.85" customHeight="1" x14ac:dyDescent="0.3">
      <c r="B96" s="49"/>
      <c r="C96" s="50"/>
      <c r="D96" s="50"/>
      <c r="E96" s="61"/>
      <c r="F96" s="61"/>
    </row>
    <row r="97" spans="2:6" ht="14.85" customHeight="1" x14ac:dyDescent="0.3">
      <c r="B97" s="49"/>
      <c r="C97" s="50"/>
      <c r="D97" s="50"/>
      <c r="E97" s="61"/>
      <c r="F97" s="61"/>
    </row>
    <row r="98" spans="2:6" ht="14.85" customHeight="1" x14ac:dyDescent="0.3">
      <c r="B98" s="49"/>
      <c r="C98" s="50"/>
      <c r="D98" s="50"/>
      <c r="E98" s="61"/>
      <c r="F98" s="61"/>
    </row>
    <row r="99" spans="2:6" ht="14.85" customHeight="1" x14ac:dyDescent="0.3">
      <c r="B99" s="49"/>
      <c r="C99" s="50"/>
      <c r="D99" s="50"/>
      <c r="E99" s="61"/>
      <c r="F99" s="61"/>
    </row>
    <row r="100" spans="2:6" ht="14.85" customHeight="1" x14ac:dyDescent="0.3">
      <c r="B100" s="49"/>
      <c r="C100" s="50"/>
      <c r="D100" s="50"/>
      <c r="E100" s="61"/>
      <c r="F100" s="61"/>
    </row>
    <row r="101" spans="2:6" ht="14.85" customHeight="1" x14ac:dyDescent="0.3">
      <c r="B101" s="49"/>
      <c r="C101" s="50"/>
      <c r="D101" s="50"/>
      <c r="E101" s="61"/>
      <c r="F101" s="61"/>
    </row>
    <row r="102" spans="2:6" ht="14.85" customHeight="1" x14ac:dyDescent="0.3">
      <c r="B102" s="49"/>
      <c r="C102" s="50"/>
      <c r="D102" s="50"/>
      <c r="E102" s="61"/>
      <c r="F102" s="61"/>
    </row>
    <row r="103" spans="2:6" ht="14.85" customHeight="1" x14ac:dyDescent="0.3">
      <c r="B103" s="49"/>
      <c r="C103" s="50"/>
      <c r="D103" s="50"/>
      <c r="E103" s="61"/>
      <c r="F103" s="61"/>
    </row>
    <row r="104" spans="2:6" ht="14.85" customHeight="1" x14ac:dyDescent="0.3">
      <c r="B104" s="49"/>
      <c r="C104" s="50"/>
      <c r="D104" s="50"/>
      <c r="E104" s="61"/>
      <c r="F104" s="61"/>
    </row>
    <row r="105" spans="2:6" ht="14.85" customHeight="1" x14ac:dyDescent="0.3">
      <c r="B105" s="49"/>
      <c r="C105" s="50"/>
      <c r="D105" s="50"/>
      <c r="E105" s="61"/>
      <c r="F105" s="61"/>
    </row>
    <row r="106" spans="2:6" ht="14.85" customHeight="1" x14ac:dyDescent="0.3">
      <c r="B106" s="49"/>
      <c r="C106" s="50"/>
      <c r="D106" s="50"/>
      <c r="E106" s="61"/>
      <c r="F106" s="61"/>
    </row>
    <row r="107" spans="2:6" ht="14.85" customHeight="1" x14ac:dyDescent="0.3">
      <c r="B107" s="49"/>
      <c r="C107" s="50"/>
      <c r="D107" s="50"/>
      <c r="E107" s="61"/>
      <c r="F107" s="61"/>
    </row>
    <row r="108" spans="2:6" ht="14.85" customHeight="1" x14ac:dyDescent="0.3">
      <c r="B108" s="24"/>
      <c r="C108" s="24"/>
      <c r="D108" s="24"/>
      <c r="E108" s="62"/>
      <c r="F108" s="62"/>
    </row>
    <row r="109" spans="2:6" ht="14.85" customHeight="1" x14ac:dyDescent="0.3">
      <c r="B109" s="24"/>
      <c r="C109" s="24"/>
      <c r="D109" s="24"/>
      <c r="E109" s="62"/>
      <c r="F109" s="62"/>
    </row>
    <row r="110" spans="2:6" ht="14.85" customHeight="1" x14ac:dyDescent="0.3">
      <c r="B110" s="24"/>
      <c r="C110" s="24"/>
      <c r="D110" s="24"/>
      <c r="E110" s="62"/>
      <c r="F110" s="62"/>
    </row>
    <row r="111" spans="2:6" ht="14.85" customHeight="1" x14ac:dyDescent="0.3">
      <c r="B111" s="24"/>
      <c r="C111" s="24"/>
      <c r="D111" s="24"/>
      <c r="E111" s="62"/>
      <c r="F111" s="62"/>
    </row>
    <row r="112" spans="2:6" ht="14.85" customHeight="1" x14ac:dyDescent="0.3">
      <c r="B112" s="24"/>
      <c r="C112" s="24"/>
      <c r="D112" s="24"/>
      <c r="E112" s="62"/>
      <c r="F112" s="62"/>
    </row>
    <row r="113" spans="2:6" ht="14.85" customHeight="1" x14ac:dyDescent="0.3">
      <c r="B113" s="24"/>
      <c r="C113" s="24"/>
      <c r="D113" s="24"/>
      <c r="E113" s="62"/>
      <c r="F113" s="62"/>
    </row>
    <row r="114" spans="2:6" ht="14.85" customHeight="1" x14ac:dyDescent="0.3">
      <c r="B114" s="24"/>
      <c r="C114" s="24"/>
      <c r="D114" s="24"/>
      <c r="E114" s="62"/>
      <c r="F114" s="62"/>
    </row>
    <row r="115" spans="2:6" ht="14.85" customHeight="1" x14ac:dyDescent="0.3">
      <c r="B115" s="24"/>
      <c r="C115" s="24"/>
      <c r="D115" s="24"/>
      <c r="E115" s="62"/>
      <c r="F115" s="62"/>
    </row>
    <row r="116" spans="2:6" x14ac:dyDescent="0.3">
      <c r="B116" s="24"/>
      <c r="C116" s="24"/>
      <c r="D116" s="24"/>
      <c r="E116" s="62"/>
      <c r="F116" s="62"/>
    </row>
    <row r="117" spans="2:6" x14ac:dyDescent="0.3">
      <c r="B117" s="24"/>
      <c r="C117" s="24"/>
      <c r="D117" s="24"/>
      <c r="E117" s="62"/>
      <c r="F117" s="62"/>
    </row>
    <row r="118" spans="2:6" x14ac:dyDescent="0.3">
      <c r="B118" s="24"/>
      <c r="C118" s="24"/>
      <c r="D118" s="24"/>
      <c r="E118" s="62"/>
      <c r="F118" s="62"/>
    </row>
    <row r="119" spans="2:6" x14ac:dyDescent="0.3">
      <c r="B119" s="24"/>
      <c r="C119" s="24"/>
      <c r="D119" s="24"/>
      <c r="E119" s="62"/>
      <c r="F119" s="62"/>
    </row>
    <row r="120" spans="2:6" x14ac:dyDescent="0.3">
      <c r="B120" s="24"/>
      <c r="C120" s="24"/>
      <c r="D120" s="24"/>
      <c r="E120" s="62"/>
      <c r="F120" s="62"/>
    </row>
    <row r="121" spans="2:6" x14ac:dyDescent="0.3">
      <c r="B121" s="24"/>
      <c r="C121" s="24"/>
      <c r="D121" s="24"/>
      <c r="E121" s="62"/>
      <c r="F121" s="62"/>
    </row>
    <row r="122" spans="2:6" x14ac:dyDescent="0.3">
      <c r="B122" s="24"/>
      <c r="C122" s="24"/>
      <c r="D122" s="24"/>
      <c r="E122" s="62"/>
      <c r="F122" s="62"/>
    </row>
    <row r="123" spans="2:6" x14ac:dyDescent="0.3">
      <c r="B123" s="24"/>
      <c r="C123" s="24"/>
      <c r="D123" s="24"/>
      <c r="E123" s="62"/>
      <c r="F123" s="62"/>
    </row>
    <row r="124" spans="2:6" x14ac:dyDescent="0.3">
      <c r="B124" s="24"/>
      <c r="C124" s="24"/>
      <c r="D124" s="24"/>
      <c r="E124" s="62"/>
      <c r="F124" s="62"/>
    </row>
    <row r="125" spans="2:6" x14ac:dyDescent="0.3">
      <c r="B125" s="24"/>
      <c r="C125" s="24"/>
      <c r="D125" s="24"/>
      <c r="E125" s="62"/>
      <c r="F125" s="62"/>
    </row>
    <row r="126" spans="2:6" x14ac:dyDescent="0.3">
      <c r="B126" s="24"/>
      <c r="C126" s="24"/>
      <c r="D126" s="24"/>
      <c r="E126" s="62"/>
      <c r="F126" s="62"/>
    </row>
    <row r="127" spans="2:6" x14ac:dyDescent="0.3">
      <c r="B127" s="24"/>
      <c r="C127" s="24"/>
      <c r="D127" s="24"/>
      <c r="E127" s="62"/>
      <c r="F127" s="62"/>
    </row>
    <row r="128" spans="2:6" x14ac:dyDescent="0.3">
      <c r="B128" s="24"/>
      <c r="C128" s="24"/>
      <c r="D128" s="24"/>
      <c r="E128" s="62"/>
      <c r="F128" s="62"/>
    </row>
    <row r="129" spans="2:6" x14ac:dyDescent="0.3">
      <c r="B129" s="24"/>
      <c r="C129" s="24"/>
      <c r="D129" s="24"/>
      <c r="E129" s="62"/>
      <c r="F129" s="62"/>
    </row>
    <row r="130" spans="2:6" x14ac:dyDescent="0.3">
      <c r="B130" s="24"/>
      <c r="C130" s="24"/>
      <c r="D130" s="24"/>
      <c r="E130" s="62"/>
      <c r="F130" s="62"/>
    </row>
    <row r="131" spans="2:6" x14ac:dyDescent="0.3">
      <c r="B131" s="24"/>
      <c r="C131" s="24"/>
      <c r="D131" s="24"/>
      <c r="E131" s="62"/>
      <c r="F131" s="62"/>
    </row>
    <row r="132" spans="2:6" x14ac:dyDescent="0.3">
      <c r="B132" s="24"/>
      <c r="C132" s="24"/>
      <c r="D132" s="24"/>
      <c r="E132" s="62"/>
      <c r="F132" s="62"/>
    </row>
    <row r="133" spans="2:6" x14ac:dyDescent="0.3">
      <c r="B133" s="24"/>
      <c r="C133" s="24"/>
      <c r="D133" s="24"/>
      <c r="E133" s="62"/>
      <c r="F133" s="62"/>
    </row>
    <row r="134" spans="2:6" x14ac:dyDescent="0.3">
      <c r="B134" s="24"/>
      <c r="C134" s="24"/>
      <c r="D134" s="24"/>
      <c r="E134" s="62"/>
      <c r="F134" s="62"/>
    </row>
    <row r="135" spans="2:6" x14ac:dyDescent="0.3">
      <c r="B135" s="24"/>
      <c r="C135" s="24"/>
      <c r="D135" s="24"/>
      <c r="E135" s="24"/>
      <c r="F135" s="24"/>
    </row>
    <row r="136" spans="2:6" x14ac:dyDescent="0.3">
      <c r="B136" s="24"/>
      <c r="C136" s="24"/>
      <c r="D136" s="24"/>
      <c r="E136" s="24"/>
      <c r="F136" s="24"/>
    </row>
    <row r="137" spans="2:6" x14ac:dyDescent="0.3">
      <c r="B137" s="24"/>
      <c r="C137" s="24"/>
      <c r="D137" s="24"/>
      <c r="E137" s="24"/>
      <c r="F137" s="24"/>
    </row>
    <row r="138" spans="2:6" x14ac:dyDescent="0.3">
      <c r="B138" s="24"/>
      <c r="C138" s="24"/>
      <c r="D138" s="24"/>
      <c r="E138" s="24"/>
      <c r="F138" s="24"/>
    </row>
    <row r="139" spans="2:6" x14ac:dyDescent="0.3">
      <c r="B139" s="24"/>
      <c r="C139" s="24"/>
      <c r="D139" s="24"/>
      <c r="E139" s="24"/>
      <c r="F139" s="24"/>
    </row>
    <row r="140" spans="2:6" x14ac:dyDescent="0.3">
      <c r="B140" s="24"/>
      <c r="C140" s="24"/>
      <c r="D140" s="24"/>
      <c r="E140" s="24"/>
      <c r="F140" s="24"/>
    </row>
    <row r="141" spans="2:6" x14ac:dyDescent="0.3">
      <c r="B141" s="24"/>
      <c r="C141" s="24"/>
      <c r="D141" s="24"/>
      <c r="E141" s="24"/>
      <c r="F141" s="24"/>
    </row>
    <row r="142" spans="2:6" x14ac:dyDescent="0.3">
      <c r="B142" s="24"/>
      <c r="C142" s="24"/>
      <c r="D142" s="24"/>
      <c r="E142" s="24"/>
      <c r="F142" s="24"/>
    </row>
    <row r="143" spans="2:6" x14ac:dyDescent="0.3">
      <c r="B143" s="24"/>
      <c r="C143" s="24"/>
      <c r="D143" s="24"/>
      <c r="E143" s="24"/>
      <c r="F143" s="24"/>
    </row>
    <row r="144" spans="2:6" x14ac:dyDescent="0.3">
      <c r="B144" s="24"/>
      <c r="C144" s="24"/>
      <c r="D144" s="24"/>
      <c r="E144" s="24"/>
      <c r="F144" s="24"/>
    </row>
    <row r="145" spans="2:6" x14ac:dyDescent="0.3">
      <c r="B145" s="24"/>
      <c r="C145" s="24"/>
      <c r="D145" s="24"/>
      <c r="E145" s="24"/>
      <c r="F145" s="24"/>
    </row>
    <row r="146" spans="2:6" x14ac:dyDescent="0.3">
      <c r="B146" s="24"/>
      <c r="C146" s="24"/>
      <c r="D146" s="24"/>
      <c r="E146" s="24"/>
      <c r="F146" s="24"/>
    </row>
    <row r="147" spans="2:6" x14ac:dyDescent="0.3">
      <c r="B147" s="24"/>
      <c r="C147" s="24"/>
      <c r="D147" s="24"/>
      <c r="E147" s="24"/>
      <c r="F147" s="24"/>
    </row>
    <row r="148" spans="2:6" x14ac:dyDescent="0.3">
      <c r="B148" s="24"/>
      <c r="C148" s="24"/>
      <c r="D148" s="24"/>
      <c r="E148" s="24"/>
      <c r="F148" s="24"/>
    </row>
    <row r="149" spans="2:6" x14ac:dyDescent="0.3">
      <c r="B149" s="24"/>
      <c r="C149" s="24"/>
      <c r="D149" s="24"/>
      <c r="E149" s="24"/>
      <c r="F149" s="24"/>
    </row>
    <row r="150" spans="2:6" x14ac:dyDescent="0.3">
      <c r="B150" s="24"/>
      <c r="C150" s="24"/>
      <c r="D150" s="24"/>
      <c r="E150" s="24"/>
      <c r="F150" s="24"/>
    </row>
    <row r="151" spans="2:6" x14ac:dyDescent="0.3">
      <c r="B151" s="24"/>
      <c r="C151" s="24"/>
      <c r="D151" s="24"/>
      <c r="E151" s="24"/>
      <c r="F151" s="24"/>
    </row>
    <row r="152" spans="2:6" x14ac:dyDescent="0.3">
      <c r="B152" s="24"/>
      <c r="C152" s="24"/>
      <c r="D152" s="24"/>
      <c r="E152" s="24"/>
      <c r="F152" s="24"/>
    </row>
    <row r="153" spans="2:6" x14ac:dyDescent="0.3">
      <c r="B153" s="24"/>
      <c r="C153" s="24"/>
      <c r="D153" s="24"/>
      <c r="E153" s="24"/>
      <c r="F153" s="24"/>
    </row>
    <row r="154" spans="2:6" x14ac:dyDescent="0.3">
      <c r="B154" s="24"/>
      <c r="C154" s="24"/>
      <c r="D154" s="24"/>
      <c r="E154" s="24"/>
      <c r="F154" s="24"/>
    </row>
    <row r="155" spans="2:6" x14ac:dyDescent="0.3">
      <c r="B155" s="24"/>
      <c r="C155" s="24"/>
      <c r="D155" s="24"/>
      <c r="E155" s="24"/>
      <c r="F155" s="24"/>
    </row>
    <row r="156" spans="2:6" x14ac:dyDescent="0.3">
      <c r="B156" s="24"/>
      <c r="C156" s="24"/>
      <c r="D156" s="24"/>
      <c r="E156" s="24"/>
      <c r="F156" s="24"/>
    </row>
    <row r="157" spans="2:6" x14ac:dyDescent="0.3">
      <c r="B157" s="24"/>
      <c r="C157" s="24"/>
      <c r="D157" s="24"/>
      <c r="E157" s="24"/>
      <c r="F157" s="24"/>
    </row>
    <row r="158" spans="2:6" x14ac:dyDescent="0.3">
      <c r="B158" s="24"/>
      <c r="C158" s="24"/>
      <c r="D158" s="24"/>
      <c r="E158" s="24"/>
      <c r="F158" s="24"/>
    </row>
    <row r="159" spans="2:6" x14ac:dyDescent="0.3">
      <c r="B159" s="24"/>
      <c r="C159" s="24"/>
      <c r="D159" s="24"/>
      <c r="E159" s="24"/>
      <c r="F159" s="24"/>
    </row>
    <row r="160" spans="2:6" x14ac:dyDescent="0.3">
      <c r="B160" s="24"/>
      <c r="C160" s="24"/>
      <c r="D160" s="24"/>
      <c r="E160" s="24"/>
      <c r="F160" s="24"/>
    </row>
    <row r="161" spans="2:6" x14ac:dyDescent="0.3">
      <c r="B161" s="24"/>
      <c r="C161" s="24"/>
      <c r="D161" s="24"/>
      <c r="E161" s="24"/>
      <c r="F161" s="24"/>
    </row>
    <row r="162" spans="2:6" x14ac:dyDescent="0.3">
      <c r="B162" s="24"/>
      <c r="C162" s="24"/>
      <c r="D162" s="24"/>
      <c r="E162" s="24"/>
      <c r="F162" s="24"/>
    </row>
    <row r="163" spans="2:6" x14ac:dyDescent="0.3">
      <c r="B163" s="24"/>
      <c r="C163" s="24"/>
      <c r="D163" s="24"/>
      <c r="E163" s="24"/>
      <c r="F163" s="24"/>
    </row>
    <row r="164" spans="2:6" x14ac:dyDescent="0.3">
      <c r="B164" s="24"/>
      <c r="C164" s="24"/>
      <c r="D164" s="24"/>
      <c r="E164" s="24"/>
      <c r="F164" s="24"/>
    </row>
    <row r="165" spans="2:6" x14ac:dyDescent="0.3">
      <c r="B165" s="24"/>
      <c r="C165" s="24"/>
      <c r="D165" s="24"/>
      <c r="E165" s="24"/>
      <c r="F165" s="24"/>
    </row>
    <row r="166" spans="2:6" x14ac:dyDescent="0.3">
      <c r="B166" s="24"/>
      <c r="C166" s="24"/>
      <c r="D166" s="24"/>
      <c r="E166" s="24"/>
      <c r="F166" s="24"/>
    </row>
    <row r="167" spans="2:6" x14ac:dyDescent="0.3">
      <c r="B167" s="24"/>
      <c r="C167" s="24"/>
      <c r="D167" s="24"/>
      <c r="E167" s="24"/>
      <c r="F167" s="24"/>
    </row>
    <row r="168" spans="2:6" x14ac:dyDescent="0.3">
      <c r="B168" s="24"/>
      <c r="C168" s="24"/>
      <c r="D168" s="24"/>
      <c r="E168" s="24"/>
      <c r="F168" s="24"/>
    </row>
    <row r="169" spans="2:6" x14ac:dyDescent="0.3">
      <c r="B169" s="24"/>
      <c r="C169" s="24"/>
      <c r="D169" s="24"/>
      <c r="E169" s="24"/>
      <c r="F169" s="24"/>
    </row>
    <row r="170" spans="2:6" x14ac:dyDescent="0.3">
      <c r="B170" s="24"/>
      <c r="C170" s="24"/>
      <c r="D170" s="24"/>
      <c r="E170" s="24"/>
      <c r="F170" s="24"/>
    </row>
    <row r="171" spans="2:6" x14ac:dyDescent="0.3">
      <c r="B171" s="24"/>
      <c r="C171" s="24"/>
      <c r="D171" s="24"/>
      <c r="E171" s="24"/>
      <c r="F171" s="24"/>
    </row>
    <row r="172" spans="2:6" x14ac:dyDescent="0.3">
      <c r="B172" s="24"/>
      <c r="C172" s="24"/>
      <c r="D172" s="24"/>
      <c r="E172" s="24"/>
      <c r="F172" s="24"/>
    </row>
    <row r="173" spans="2:6" x14ac:dyDescent="0.3">
      <c r="B173" s="24"/>
      <c r="C173" s="24"/>
      <c r="D173" s="24"/>
      <c r="E173" s="24"/>
      <c r="F173" s="24"/>
    </row>
    <row r="174" spans="2:6" x14ac:dyDescent="0.3">
      <c r="B174" s="24"/>
      <c r="C174" s="24"/>
      <c r="D174" s="24"/>
      <c r="E174" s="24"/>
      <c r="F174" s="24"/>
    </row>
    <row r="175" spans="2:6" x14ac:dyDescent="0.3">
      <c r="B175" s="24"/>
      <c r="C175" s="24"/>
      <c r="D175" s="24"/>
      <c r="E175" s="24"/>
      <c r="F175" s="24"/>
    </row>
    <row r="176" spans="2:6" x14ac:dyDescent="0.3">
      <c r="B176" s="24"/>
      <c r="C176" s="24"/>
      <c r="D176" s="24"/>
      <c r="E176" s="24"/>
      <c r="F176" s="24"/>
    </row>
    <row r="177" spans="2:6" x14ac:dyDescent="0.3">
      <c r="B177" s="24"/>
      <c r="C177" s="24"/>
      <c r="D177" s="24"/>
      <c r="E177" s="24"/>
      <c r="F177" s="24"/>
    </row>
    <row r="178" spans="2:6" x14ac:dyDescent="0.3">
      <c r="B178" s="24"/>
      <c r="C178" s="24"/>
      <c r="D178" s="24"/>
      <c r="E178" s="24"/>
      <c r="F178" s="24"/>
    </row>
    <row r="179" spans="2:6" x14ac:dyDescent="0.3">
      <c r="B179" s="24"/>
      <c r="C179" s="24"/>
      <c r="D179" s="24"/>
      <c r="E179" s="24"/>
      <c r="F179" s="24"/>
    </row>
    <row r="180" spans="2:6" x14ac:dyDescent="0.3">
      <c r="B180" s="24"/>
      <c r="C180" s="24"/>
      <c r="D180" s="24"/>
      <c r="E180" s="24"/>
      <c r="F180" s="24"/>
    </row>
    <row r="181" spans="2:6" x14ac:dyDescent="0.3">
      <c r="B181" s="24"/>
      <c r="C181" s="24"/>
      <c r="D181" s="24"/>
      <c r="E181" s="24"/>
      <c r="F181" s="24"/>
    </row>
    <row r="182" spans="2:6" x14ac:dyDescent="0.3">
      <c r="B182" s="24"/>
      <c r="C182" s="24"/>
      <c r="D182" s="24"/>
      <c r="E182" s="24"/>
      <c r="F182" s="24"/>
    </row>
    <row r="183" spans="2:6" x14ac:dyDescent="0.3">
      <c r="B183" s="24"/>
      <c r="C183" s="24"/>
      <c r="D183" s="24"/>
      <c r="E183" s="24"/>
      <c r="F183" s="24"/>
    </row>
    <row r="184" spans="2:6" x14ac:dyDescent="0.3">
      <c r="B184" s="24"/>
      <c r="C184" s="24"/>
      <c r="D184" s="24"/>
      <c r="E184" s="24"/>
      <c r="F184" s="24"/>
    </row>
    <row r="185" spans="2:6" x14ac:dyDescent="0.3">
      <c r="B185" s="24"/>
      <c r="C185" s="24"/>
      <c r="D185" s="24"/>
      <c r="E185" s="24"/>
      <c r="F185" s="24"/>
    </row>
    <row r="186" spans="2:6" x14ac:dyDescent="0.3">
      <c r="B186" s="24"/>
      <c r="C186" s="24"/>
      <c r="D186" s="24"/>
      <c r="E186" s="24"/>
      <c r="F186" s="24"/>
    </row>
    <row r="187" spans="2:6" x14ac:dyDescent="0.3">
      <c r="B187" s="24"/>
      <c r="C187" s="24"/>
      <c r="D187" s="24"/>
      <c r="E187" s="24"/>
      <c r="F187" s="24"/>
    </row>
    <row r="188" spans="2:6" x14ac:dyDescent="0.3">
      <c r="B188" s="24"/>
      <c r="C188" s="24"/>
      <c r="D188" s="24"/>
      <c r="E188" s="24"/>
      <c r="F188" s="24"/>
    </row>
    <row r="189" spans="2:6" x14ac:dyDescent="0.3">
      <c r="B189" s="24"/>
      <c r="C189" s="24"/>
      <c r="D189" s="24"/>
      <c r="E189" s="24"/>
      <c r="F189" s="24"/>
    </row>
    <row r="190" spans="2:6" x14ac:dyDescent="0.3">
      <c r="B190" s="24"/>
      <c r="C190" s="24"/>
      <c r="D190" s="24"/>
      <c r="E190" s="24"/>
      <c r="F190" s="24"/>
    </row>
    <row r="191" spans="2:6" x14ac:dyDescent="0.3">
      <c r="B191" s="24"/>
      <c r="C191" s="24"/>
      <c r="D191" s="24"/>
      <c r="E191" s="24"/>
      <c r="F191" s="24"/>
    </row>
    <row r="192" spans="2:6" x14ac:dyDescent="0.3">
      <c r="B192" s="24"/>
      <c r="C192" s="24"/>
      <c r="D192" s="24"/>
      <c r="E192" s="24"/>
      <c r="F192" s="24"/>
    </row>
    <row r="193" spans="2:6" x14ac:dyDescent="0.3">
      <c r="B193" s="24"/>
      <c r="C193" s="24"/>
      <c r="D193" s="24"/>
      <c r="E193" s="24"/>
      <c r="F193" s="24"/>
    </row>
    <row r="194" spans="2:6" x14ac:dyDescent="0.3">
      <c r="B194" s="24"/>
      <c r="C194" s="24"/>
      <c r="D194" s="24"/>
      <c r="E194" s="24"/>
      <c r="F194" s="24"/>
    </row>
    <row r="195" spans="2:6" x14ac:dyDescent="0.3">
      <c r="B195" s="24"/>
      <c r="C195" s="24"/>
      <c r="D195" s="24"/>
      <c r="E195" s="24"/>
      <c r="F195" s="24"/>
    </row>
    <row r="196" spans="2:6" x14ac:dyDescent="0.3">
      <c r="B196" s="24"/>
      <c r="C196" s="24"/>
      <c r="D196" s="24"/>
      <c r="E196" s="24"/>
      <c r="F196" s="24"/>
    </row>
    <row r="197" spans="2:6" x14ac:dyDescent="0.3">
      <c r="B197" s="24"/>
      <c r="C197" s="24"/>
      <c r="D197" s="24"/>
      <c r="E197" s="24"/>
      <c r="F197" s="24"/>
    </row>
    <row r="198" spans="2:6" x14ac:dyDescent="0.3">
      <c r="B198" s="24"/>
      <c r="C198" s="24"/>
      <c r="D198" s="24"/>
      <c r="E198" s="24"/>
      <c r="F198" s="24"/>
    </row>
    <row r="199" spans="2:6" x14ac:dyDescent="0.3">
      <c r="B199" s="24"/>
      <c r="C199" s="24"/>
      <c r="D199" s="24"/>
      <c r="E199" s="24"/>
      <c r="F199" s="24"/>
    </row>
    <row r="200" spans="2:6" x14ac:dyDescent="0.3">
      <c r="B200" s="24"/>
      <c r="C200" s="24"/>
      <c r="D200" s="24"/>
      <c r="E200" s="24"/>
      <c r="F200" s="24"/>
    </row>
    <row r="201" spans="2:6" x14ac:dyDescent="0.3">
      <c r="B201" s="24"/>
      <c r="C201" s="24"/>
      <c r="D201" s="24"/>
      <c r="E201" s="24"/>
      <c r="F201" s="24"/>
    </row>
    <row r="202" spans="2:6" x14ac:dyDescent="0.3">
      <c r="B202" s="24"/>
      <c r="C202" s="24"/>
      <c r="D202" s="24"/>
      <c r="E202" s="24"/>
      <c r="F202" s="24"/>
    </row>
    <row r="203" spans="2:6" x14ac:dyDescent="0.3">
      <c r="B203" s="24"/>
      <c r="C203" s="24"/>
      <c r="D203" s="24"/>
      <c r="E203" s="24"/>
      <c r="F203" s="24"/>
    </row>
    <row r="204" spans="2:6" x14ac:dyDescent="0.3">
      <c r="B204" s="24"/>
      <c r="C204" s="24"/>
      <c r="D204" s="24"/>
      <c r="E204" s="24"/>
      <c r="F204" s="24"/>
    </row>
    <row r="205" spans="2:6" x14ac:dyDescent="0.3">
      <c r="B205" s="24"/>
      <c r="C205" s="24"/>
      <c r="D205" s="24"/>
      <c r="E205" s="24"/>
      <c r="F205" s="24"/>
    </row>
    <row r="206" spans="2:6" x14ac:dyDescent="0.3">
      <c r="B206" s="24"/>
      <c r="C206" s="24"/>
      <c r="D206" s="24"/>
      <c r="E206" s="24"/>
      <c r="F206" s="24"/>
    </row>
    <row r="207" spans="2:6" x14ac:dyDescent="0.3">
      <c r="B207" s="24"/>
      <c r="C207" s="24"/>
      <c r="D207" s="24"/>
      <c r="E207" s="24"/>
      <c r="F207" s="24"/>
    </row>
    <row r="208" spans="2:6" x14ac:dyDescent="0.3">
      <c r="B208" s="24"/>
      <c r="C208" s="24"/>
      <c r="D208" s="24"/>
      <c r="E208" s="24"/>
      <c r="F208" s="24"/>
    </row>
    <row r="209" spans="2:6" x14ac:dyDescent="0.3">
      <c r="B209" s="24"/>
      <c r="C209" s="24"/>
      <c r="D209" s="24"/>
      <c r="E209" s="24"/>
      <c r="F209" s="24"/>
    </row>
    <row r="210" spans="2:6" x14ac:dyDescent="0.3">
      <c r="B210" s="24"/>
      <c r="C210" s="24"/>
      <c r="D210" s="24"/>
      <c r="E210" s="24"/>
      <c r="F210" s="24"/>
    </row>
    <row r="211" spans="2:6" x14ac:dyDescent="0.3">
      <c r="B211" s="24"/>
      <c r="C211" s="24"/>
      <c r="D211" s="24"/>
      <c r="E211" s="24"/>
      <c r="F211" s="24"/>
    </row>
    <row r="212" spans="2:6" x14ac:dyDescent="0.3">
      <c r="B212" s="24"/>
      <c r="C212" s="24"/>
      <c r="D212" s="24"/>
      <c r="E212" s="24"/>
      <c r="F212" s="24"/>
    </row>
    <row r="213" spans="2:6" x14ac:dyDescent="0.3">
      <c r="B213" s="24"/>
      <c r="C213" s="24"/>
      <c r="D213" s="24"/>
      <c r="E213" s="24"/>
      <c r="F213" s="24"/>
    </row>
    <row r="214" spans="2:6" x14ac:dyDescent="0.3">
      <c r="B214" s="24"/>
      <c r="C214" s="24"/>
      <c r="D214" s="24"/>
      <c r="E214" s="24"/>
      <c r="F214" s="24"/>
    </row>
    <row r="215" spans="2:6" x14ac:dyDescent="0.3">
      <c r="B215" s="24"/>
      <c r="C215" s="24"/>
      <c r="D215" s="24"/>
      <c r="E215" s="24"/>
      <c r="F215" s="24"/>
    </row>
    <row r="216" spans="2:6" x14ac:dyDescent="0.3">
      <c r="B216" s="24"/>
      <c r="C216" s="24"/>
      <c r="D216" s="24"/>
      <c r="E216" s="24"/>
      <c r="F216" s="24"/>
    </row>
    <row r="217" spans="2:6" x14ac:dyDescent="0.3">
      <c r="B217" s="24"/>
      <c r="C217" s="24"/>
      <c r="D217" s="24"/>
      <c r="E217" s="24"/>
      <c r="F217" s="24"/>
    </row>
    <row r="218" spans="2:6" x14ac:dyDescent="0.3">
      <c r="B218" s="24"/>
      <c r="C218" s="24"/>
      <c r="D218" s="24"/>
      <c r="E218" s="24"/>
      <c r="F218" s="24"/>
    </row>
    <row r="219" spans="2:6" x14ac:dyDescent="0.3">
      <c r="B219" s="24"/>
      <c r="C219" s="24"/>
      <c r="D219" s="24"/>
      <c r="E219" s="24"/>
      <c r="F219" s="24"/>
    </row>
    <row r="220" spans="2:6" x14ac:dyDescent="0.3">
      <c r="B220" s="24"/>
      <c r="C220" s="24"/>
      <c r="D220" s="24"/>
      <c r="E220" s="24"/>
      <c r="F220" s="24"/>
    </row>
    <row r="221" spans="2:6" x14ac:dyDescent="0.3">
      <c r="B221" s="24"/>
      <c r="C221" s="24"/>
      <c r="D221" s="24"/>
      <c r="E221" s="24"/>
      <c r="F221" s="24"/>
    </row>
    <row r="222" spans="2:6" x14ac:dyDescent="0.3">
      <c r="B222" s="24"/>
      <c r="C222" s="24"/>
      <c r="D222" s="24"/>
      <c r="E222" s="24"/>
      <c r="F222" s="24"/>
    </row>
    <row r="223" spans="2:6" x14ac:dyDescent="0.3">
      <c r="B223" s="24"/>
      <c r="C223" s="24"/>
      <c r="D223" s="24"/>
      <c r="E223" s="24"/>
      <c r="F223" s="24"/>
    </row>
    <row r="224" spans="2:6" x14ac:dyDescent="0.3">
      <c r="B224" s="24"/>
      <c r="C224" s="24"/>
      <c r="D224" s="24"/>
      <c r="E224" s="24"/>
      <c r="F224" s="24"/>
    </row>
    <row r="225" spans="2:6" x14ac:dyDescent="0.3">
      <c r="B225" s="24"/>
      <c r="C225" s="24"/>
      <c r="D225" s="24"/>
      <c r="E225" s="24"/>
      <c r="F225" s="24"/>
    </row>
    <row r="226" spans="2:6" x14ac:dyDescent="0.3">
      <c r="B226" s="24"/>
      <c r="C226" s="24"/>
      <c r="D226" s="24"/>
      <c r="E226" s="24"/>
      <c r="F226" s="24"/>
    </row>
    <row r="227" spans="2:6" x14ac:dyDescent="0.3">
      <c r="B227" s="24"/>
      <c r="C227" s="24"/>
      <c r="D227" s="24"/>
      <c r="E227" s="24"/>
      <c r="F227" s="24"/>
    </row>
    <row r="228" spans="2:6" x14ac:dyDescent="0.3">
      <c r="B228" s="24"/>
      <c r="C228" s="24"/>
      <c r="D228" s="24"/>
      <c r="E228" s="24"/>
      <c r="F228" s="24"/>
    </row>
    <row r="229" spans="2:6" x14ac:dyDescent="0.3">
      <c r="B229" s="24"/>
      <c r="C229" s="24"/>
      <c r="D229" s="24"/>
      <c r="E229" s="24"/>
      <c r="F229" s="24"/>
    </row>
    <row r="230" spans="2:6" x14ac:dyDescent="0.3">
      <c r="B230" s="24"/>
      <c r="C230" s="24"/>
      <c r="D230" s="24"/>
      <c r="E230" s="24"/>
      <c r="F230" s="24"/>
    </row>
    <row r="231" spans="2:6" x14ac:dyDescent="0.3">
      <c r="B231" s="24"/>
      <c r="C231" s="24"/>
      <c r="D231" s="24"/>
      <c r="E231" s="24"/>
      <c r="F231" s="24"/>
    </row>
    <row r="232" spans="2:6" x14ac:dyDescent="0.3">
      <c r="B232" s="24"/>
      <c r="C232" s="24"/>
      <c r="D232" s="24"/>
      <c r="E232" s="24"/>
      <c r="F232" s="24"/>
    </row>
    <row r="233" spans="2:6" x14ac:dyDescent="0.3">
      <c r="B233" s="24"/>
      <c r="C233" s="24"/>
      <c r="D233" s="24"/>
      <c r="E233" s="24"/>
      <c r="F233" s="24"/>
    </row>
    <row r="234" spans="2:6" x14ac:dyDescent="0.3">
      <c r="B234" s="24"/>
      <c r="C234" s="24"/>
      <c r="D234" s="24"/>
      <c r="E234" s="24"/>
      <c r="F234" s="24"/>
    </row>
    <row r="235" spans="2:6" x14ac:dyDescent="0.3">
      <c r="B235" s="24"/>
      <c r="C235" s="24"/>
      <c r="D235" s="24"/>
      <c r="E235" s="24"/>
      <c r="F235" s="24"/>
    </row>
    <row r="236" spans="2:6" x14ac:dyDescent="0.3">
      <c r="B236" s="24"/>
      <c r="C236" s="24"/>
      <c r="D236" s="24"/>
      <c r="E236" s="24"/>
      <c r="F236" s="24"/>
    </row>
    <row r="237" spans="2:6" x14ac:dyDescent="0.3">
      <c r="B237" s="24"/>
      <c r="C237" s="24"/>
      <c r="D237" s="24"/>
      <c r="E237" s="24"/>
      <c r="F237" s="24"/>
    </row>
    <row r="238" spans="2:6" x14ac:dyDescent="0.3">
      <c r="B238" s="24"/>
      <c r="C238" s="24"/>
      <c r="D238" s="24"/>
      <c r="E238" s="24"/>
      <c r="F238" s="24"/>
    </row>
    <row r="239" spans="2:6" x14ac:dyDescent="0.3">
      <c r="B239" s="24"/>
      <c r="C239" s="24"/>
      <c r="D239" s="24"/>
      <c r="E239" s="24"/>
      <c r="F239" s="24"/>
    </row>
    <row r="240" spans="2:6" x14ac:dyDescent="0.3">
      <c r="B240" s="24"/>
      <c r="C240" s="24"/>
      <c r="D240" s="24"/>
      <c r="E240" s="24"/>
      <c r="F240" s="24"/>
    </row>
    <row r="241" spans="2:6" x14ac:dyDescent="0.3">
      <c r="B241" s="24"/>
      <c r="C241" s="24"/>
      <c r="D241" s="24"/>
      <c r="E241" s="24"/>
      <c r="F241" s="24"/>
    </row>
    <row r="242" spans="2:6" x14ac:dyDescent="0.3">
      <c r="B242" s="24"/>
      <c r="C242" s="24"/>
      <c r="D242" s="24"/>
      <c r="E242" s="24"/>
      <c r="F242" s="24"/>
    </row>
    <row r="243" spans="2:6" x14ac:dyDescent="0.3">
      <c r="B243" s="24"/>
      <c r="C243" s="24"/>
      <c r="D243" s="24"/>
      <c r="E243" s="24"/>
      <c r="F243" s="24"/>
    </row>
    <row r="244" spans="2:6" x14ac:dyDescent="0.3">
      <c r="B244" s="24"/>
      <c r="C244" s="24"/>
      <c r="D244" s="24"/>
      <c r="E244" s="24"/>
      <c r="F244" s="24"/>
    </row>
    <row r="245" spans="2:6" x14ac:dyDescent="0.3">
      <c r="B245" s="24"/>
      <c r="C245" s="24"/>
      <c r="D245" s="24"/>
      <c r="E245" s="24"/>
      <c r="F245" s="24"/>
    </row>
    <row r="246" spans="2:6" x14ac:dyDescent="0.3">
      <c r="B246" s="24"/>
      <c r="C246" s="24"/>
      <c r="D246" s="24"/>
      <c r="E246" s="24"/>
      <c r="F246" s="24"/>
    </row>
    <row r="247" spans="2:6" x14ac:dyDescent="0.3">
      <c r="B247" s="24"/>
      <c r="C247" s="24"/>
      <c r="D247" s="24"/>
      <c r="E247" s="24"/>
      <c r="F247" s="24"/>
    </row>
    <row r="248" spans="2:6" x14ac:dyDescent="0.3">
      <c r="B248" s="24"/>
      <c r="C248" s="24"/>
      <c r="D248" s="24"/>
      <c r="E248" s="24"/>
      <c r="F248" s="24"/>
    </row>
    <row r="249" spans="2:6" x14ac:dyDescent="0.3">
      <c r="B249" s="24"/>
      <c r="C249" s="24"/>
      <c r="D249" s="24"/>
      <c r="E249" s="24"/>
      <c r="F249" s="24"/>
    </row>
    <row r="250" spans="2:6" x14ac:dyDescent="0.3">
      <c r="B250" s="24"/>
      <c r="C250" s="24"/>
      <c r="D250" s="24"/>
      <c r="E250" s="24"/>
      <c r="F250" s="24"/>
    </row>
    <row r="251" spans="2:6" x14ac:dyDescent="0.3">
      <c r="B251" s="24"/>
      <c r="C251" s="24"/>
      <c r="D251" s="24"/>
      <c r="E251" s="24"/>
      <c r="F251" s="24"/>
    </row>
    <row r="252" spans="2:6" x14ac:dyDescent="0.3">
      <c r="B252" s="24"/>
      <c r="C252" s="24"/>
      <c r="D252" s="24"/>
      <c r="E252" s="24"/>
      <c r="F252" s="24"/>
    </row>
    <row r="253" spans="2:6" x14ac:dyDescent="0.3">
      <c r="B253" s="24"/>
      <c r="C253" s="24"/>
      <c r="D253" s="24"/>
      <c r="E253" s="24"/>
      <c r="F253" s="24"/>
    </row>
    <row r="254" spans="2:6" x14ac:dyDescent="0.3">
      <c r="B254" s="24"/>
      <c r="C254" s="24"/>
      <c r="D254" s="24"/>
      <c r="E254" s="24"/>
      <c r="F254" s="24"/>
    </row>
    <row r="255" spans="2:6" x14ac:dyDescent="0.3">
      <c r="B255" s="24"/>
      <c r="C255" s="24"/>
      <c r="D255" s="24"/>
      <c r="E255" s="24"/>
      <c r="F255" s="24"/>
    </row>
    <row r="256" spans="2:6" x14ac:dyDescent="0.3">
      <c r="B256" s="24"/>
      <c r="C256" s="24"/>
      <c r="D256" s="24"/>
      <c r="E256" s="24"/>
      <c r="F256" s="24"/>
    </row>
    <row r="257" spans="2:6" x14ac:dyDescent="0.3">
      <c r="B257" s="24"/>
      <c r="C257" s="24"/>
      <c r="D257" s="24"/>
      <c r="E257" s="24"/>
      <c r="F257" s="24"/>
    </row>
    <row r="258" spans="2:6" x14ac:dyDescent="0.3">
      <c r="B258" s="24"/>
      <c r="C258" s="24"/>
      <c r="D258" s="24"/>
      <c r="E258" s="24"/>
      <c r="F258" s="24"/>
    </row>
    <row r="259" spans="2:6" x14ac:dyDescent="0.3">
      <c r="B259" s="24"/>
      <c r="C259" s="24"/>
      <c r="D259" s="24"/>
      <c r="E259" s="24"/>
      <c r="F259" s="24"/>
    </row>
    <row r="260" spans="2:6" x14ac:dyDescent="0.3">
      <c r="B260" s="24"/>
      <c r="C260" s="24"/>
      <c r="D260" s="24"/>
      <c r="E260" s="24"/>
      <c r="F260" s="24"/>
    </row>
    <row r="261" spans="2:6" x14ac:dyDescent="0.3">
      <c r="B261" s="24"/>
      <c r="C261" s="24"/>
      <c r="D261" s="24"/>
      <c r="E261" s="24"/>
      <c r="F261" s="24"/>
    </row>
    <row r="262" spans="2:6" x14ac:dyDescent="0.3">
      <c r="B262" s="24"/>
      <c r="C262" s="24"/>
      <c r="D262" s="24"/>
      <c r="E262" s="24"/>
      <c r="F262" s="24"/>
    </row>
    <row r="263" spans="2:6" x14ac:dyDescent="0.3">
      <c r="B263" s="24"/>
      <c r="C263" s="24"/>
      <c r="D263" s="24"/>
      <c r="E263" s="24"/>
      <c r="F263" s="24"/>
    </row>
    <row r="264" spans="2:6" x14ac:dyDescent="0.3">
      <c r="B264" s="24"/>
      <c r="C264" s="24"/>
      <c r="D264" s="24"/>
      <c r="E264" s="24"/>
      <c r="F264" s="24"/>
    </row>
    <row r="265" spans="2:6" x14ac:dyDescent="0.3">
      <c r="B265" s="24"/>
      <c r="C265" s="24"/>
      <c r="D265" s="24"/>
      <c r="E265" s="24"/>
      <c r="F265" s="24"/>
    </row>
    <row r="266" spans="2:6" x14ac:dyDescent="0.3">
      <c r="B266" s="24"/>
      <c r="C266" s="24"/>
      <c r="D266" s="24"/>
      <c r="E266" s="24"/>
      <c r="F266" s="24"/>
    </row>
    <row r="267" spans="2:6" x14ac:dyDescent="0.3">
      <c r="B267" s="24"/>
      <c r="C267" s="24"/>
      <c r="D267" s="24"/>
      <c r="E267" s="24"/>
      <c r="F267" s="24"/>
    </row>
    <row r="268" spans="2:6" x14ac:dyDescent="0.3">
      <c r="B268" s="24"/>
      <c r="C268" s="24"/>
      <c r="D268" s="24"/>
      <c r="E268" s="24"/>
      <c r="F268" s="24"/>
    </row>
    <row r="269" spans="2:6" x14ac:dyDescent="0.3">
      <c r="B269" s="24"/>
      <c r="C269" s="24"/>
      <c r="D269" s="24"/>
      <c r="E269" s="24"/>
      <c r="F269" s="24"/>
    </row>
    <row r="270" spans="2:6" x14ac:dyDescent="0.3">
      <c r="B270" s="24"/>
      <c r="C270" s="24"/>
      <c r="D270" s="24"/>
      <c r="E270" s="24"/>
      <c r="F270" s="24"/>
    </row>
    <row r="271" spans="2:6" x14ac:dyDescent="0.3">
      <c r="B271" s="24"/>
      <c r="C271" s="24"/>
      <c r="D271" s="24"/>
      <c r="E271" s="24"/>
      <c r="F271" s="24"/>
    </row>
    <row r="272" spans="2:6" x14ac:dyDescent="0.3">
      <c r="B272" s="24"/>
      <c r="C272" s="24"/>
      <c r="D272" s="24"/>
      <c r="E272" s="24"/>
      <c r="F272" s="24"/>
    </row>
    <row r="273" spans="2:6" x14ac:dyDescent="0.3">
      <c r="B273" s="24"/>
      <c r="C273" s="24"/>
      <c r="D273" s="24"/>
      <c r="E273" s="24"/>
      <c r="F273" s="24"/>
    </row>
    <row r="274" spans="2:6" x14ac:dyDescent="0.3">
      <c r="B274" s="24"/>
      <c r="C274" s="24"/>
      <c r="D274" s="24"/>
      <c r="E274" s="24"/>
      <c r="F274" s="24"/>
    </row>
    <row r="275" spans="2:6" x14ac:dyDescent="0.3">
      <c r="B275" s="24"/>
      <c r="C275" s="24"/>
      <c r="D275" s="24"/>
      <c r="E275" s="24"/>
      <c r="F275" s="24"/>
    </row>
    <row r="276" spans="2:6" x14ac:dyDescent="0.3">
      <c r="B276" s="24"/>
      <c r="C276" s="24"/>
      <c r="D276" s="24"/>
      <c r="E276" s="24"/>
      <c r="F276" s="24"/>
    </row>
    <row r="277" spans="2:6" x14ac:dyDescent="0.3">
      <c r="B277" s="24"/>
      <c r="C277" s="24"/>
      <c r="D277" s="24"/>
      <c r="E277" s="24"/>
      <c r="F277" s="24"/>
    </row>
    <row r="278" spans="2:6" x14ac:dyDescent="0.3">
      <c r="B278" s="24"/>
      <c r="C278" s="24"/>
      <c r="D278" s="24"/>
      <c r="E278" s="24"/>
      <c r="F278" s="24"/>
    </row>
    <row r="279" spans="2:6" x14ac:dyDescent="0.3">
      <c r="B279" s="24"/>
      <c r="C279" s="24"/>
      <c r="D279" s="24"/>
      <c r="E279" s="24"/>
      <c r="F279" s="24"/>
    </row>
    <row r="280" spans="2:6" x14ac:dyDescent="0.3">
      <c r="B280" s="24"/>
      <c r="C280" s="24"/>
      <c r="D280" s="24"/>
      <c r="E280" s="24"/>
      <c r="F280" s="24"/>
    </row>
    <row r="281" spans="2:6" x14ac:dyDescent="0.3">
      <c r="B281" s="24"/>
      <c r="C281" s="24"/>
      <c r="D281" s="24"/>
      <c r="E281" s="24"/>
      <c r="F281" s="24"/>
    </row>
    <row r="282" spans="2:6" x14ac:dyDescent="0.3">
      <c r="B282" s="24"/>
      <c r="C282" s="24"/>
      <c r="D282" s="24"/>
      <c r="E282" s="24"/>
      <c r="F282" s="24"/>
    </row>
    <row r="283" spans="2:6" x14ac:dyDescent="0.3">
      <c r="B283" s="24"/>
      <c r="C283" s="24"/>
      <c r="D283" s="24"/>
      <c r="E283" s="24"/>
      <c r="F283" s="24"/>
    </row>
    <row r="284" spans="2:6" x14ac:dyDescent="0.3">
      <c r="B284" s="24"/>
      <c r="C284" s="24"/>
      <c r="D284" s="24"/>
      <c r="E284" s="24"/>
      <c r="F284" s="24"/>
    </row>
    <row r="285" spans="2:6" x14ac:dyDescent="0.3">
      <c r="B285" s="24"/>
      <c r="C285" s="24"/>
      <c r="D285" s="24"/>
      <c r="E285" s="24"/>
      <c r="F285" s="24"/>
    </row>
    <row r="286" spans="2:6" x14ac:dyDescent="0.3">
      <c r="B286" s="24"/>
      <c r="C286" s="24"/>
      <c r="D286" s="24"/>
      <c r="E286" s="24"/>
      <c r="F286" s="24"/>
    </row>
    <row r="287" spans="2:6" x14ac:dyDescent="0.3">
      <c r="B287" s="24"/>
      <c r="C287" s="24"/>
      <c r="D287" s="24"/>
      <c r="E287" s="24"/>
      <c r="F287" s="24"/>
    </row>
    <row r="288" spans="2:6" x14ac:dyDescent="0.3">
      <c r="B288" s="24"/>
      <c r="C288" s="24"/>
      <c r="D288" s="24"/>
      <c r="E288" s="24"/>
      <c r="F288" s="24"/>
    </row>
    <row r="289" spans="2:6" x14ac:dyDescent="0.3">
      <c r="B289" s="24"/>
      <c r="C289" s="24"/>
      <c r="D289" s="24"/>
      <c r="E289" s="24"/>
      <c r="F289" s="24"/>
    </row>
    <row r="290" spans="2:6" x14ac:dyDescent="0.3">
      <c r="B290" s="24"/>
      <c r="C290" s="24"/>
      <c r="D290" s="24"/>
      <c r="E290" s="24"/>
      <c r="F290" s="24"/>
    </row>
    <row r="291" spans="2:6" x14ac:dyDescent="0.3">
      <c r="B291" s="24"/>
      <c r="C291" s="24"/>
      <c r="D291" s="24"/>
      <c r="E291" s="24"/>
      <c r="F291" s="24"/>
    </row>
    <row r="292" spans="2:6" x14ac:dyDescent="0.3">
      <c r="B292" s="24"/>
      <c r="C292" s="24"/>
      <c r="D292" s="24"/>
      <c r="E292" s="24"/>
      <c r="F292" s="24"/>
    </row>
    <row r="293" spans="2:6" x14ac:dyDescent="0.3">
      <c r="B293" s="24"/>
      <c r="C293" s="24"/>
      <c r="D293" s="24"/>
      <c r="E293" s="24"/>
      <c r="F293" s="24"/>
    </row>
    <row r="294" spans="2:6" x14ac:dyDescent="0.3">
      <c r="B294" s="24"/>
      <c r="C294" s="24"/>
      <c r="D294" s="24"/>
      <c r="E294" s="24"/>
      <c r="F294" s="24"/>
    </row>
    <row r="295" spans="2:6" x14ac:dyDescent="0.3">
      <c r="B295" s="24"/>
      <c r="C295" s="24"/>
      <c r="D295" s="24"/>
      <c r="E295" s="24"/>
      <c r="F295" s="24"/>
    </row>
    <row r="296" spans="2:6" x14ac:dyDescent="0.3">
      <c r="B296" s="24"/>
      <c r="C296" s="24"/>
      <c r="D296" s="24"/>
      <c r="E296" s="24"/>
      <c r="F296" s="24"/>
    </row>
    <row r="297" spans="2:6" x14ac:dyDescent="0.3">
      <c r="B297" s="24"/>
      <c r="C297" s="24"/>
      <c r="D297" s="24"/>
      <c r="E297" s="24"/>
      <c r="F297" s="24"/>
    </row>
    <row r="298" spans="2:6" x14ac:dyDescent="0.3">
      <c r="B298" s="24"/>
      <c r="C298" s="24"/>
      <c r="D298" s="24"/>
      <c r="E298" s="24"/>
      <c r="F298" s="24"/>
    </row>
    <row r="299" spans="2:6" x14ac:dyDescent="0.3">
      <c r="B299" s="24"/>
      <c r="C299" s="24"/>
      <c r="D299" s="24"/>
      <c r="E299" s="24"/>
      <c r="F299" s="24"/>
    </row>
    <row r="300" spans="2:6" x14ac:dyDescent="0.3">
      <c r="B300" s="24"/>
      <c r="C300" s="24"/>
      <c r="D300" s="24"/>
      <c r="E300" s="24"/>
      <c r="F300" s="24"/>
    </row>
    <row r="301" spans="2:6" x14ac:dyDescent="0.3">
      <c r="B301" s="24"/>
      <c r="C301" s="24"/>
      <c r="D301" s="24"/>
      <c r="E301" s="24"/>
      <c r="F301" s="24"/>
    </row>
    <row r="302" spans="2:6" x14ac:dyDescent="0.3">
      <c r="B302" s="24"/>
      <c r="C302" s="24"/>
      <c r="D302" s="24"/>
      <c r="E302" s="24"/>
      <c r="F302" s="24"/>
    </row>
    <row r="303" spans="2:6" x14ac:dyDescent="0.3">
      <c r="B303" s="24"/>
      <c r="C303" s="24"/>
      <c r="D303" s="24"/>
      <c r="E303" s="24"/>
      <c r="F303" s="24"/>
    </row>
    <row r="304" spans="2:6" x14ac:dyDescent="0.3">
      <c r="B304" s="24"/>
      <c r="C304" s="24"/>
      <c r="D304" s="24"/>
      <c r="E304" s="24"/>
      <c r="F304" s="24"/>
    </row>
    <row r="305" spans="2:6" x14ac:dyDescent="0.3">
      <c r="B305" s="24"/>
      <c r="C305" s="24"/>
      <c r="D305" s="24"/>
      <c r="E305" s="24"/>
      <c r="F305" s="24"/>
    </row>
    <row r="306" spans="2:6" x14ac:dyDescent="0.3">
      <c r="B306" s="24"/>
      <c r="C306" s="24"/>
      <c r="D306" s="24"/>
      <c r="E306" s="24"/>
      <c r="F306" s="24"/>
    </row>
    <row r="307" spans="2:6" x14ac:dyDescent="0.3">
      <c r="B307" s="24"/>
      <c r="C307" s="24"/>
      <c r="D307" s="24"/>
      <c r="E307" s="24"/>
      <c r="F307" s="24"/>
    </row>
    <row r="308" spans="2:6" x14ac:dyDescent="0.3">
      <c r="B308" s="24"/>
      <c r="C308" s="24"/>
      <c r="D308" s="24"/>
      <c r="E308" s="24"/>
      <c r="F308" s="24"/>
    </row>
    <row r="309" spans="2:6" x14ac:dyDescent="0.3">
      <c r="B309" s="24"/>
      <c r="C309" s="24"/>
      <c r="D309" s="24"/>
      <c r="E309" s="24"/>
      <c r="F309" s="24"/>
    </row>
    <row r="310" spans="2:6" x14ac:dyDescent="0.3">
      <c r="B310" s="24"/>
      <c r="C310" s="24"/>
      <c r="D310" s="24"/>
      <c r="E310" s="24"/>
      <c r="F310" s="24"/>
    </row>
    <row r="311" spans="2:6" x14ac:dyDescent="0.3">
      <c r="B311" s="24"/>
      <c r="C311" s="24"/>
      <c r="D311" s="24"/>
      <c r="E311" s="24"/>
      <c r="F311" s="24"/>
    </row>
    <row r="312" spans="2:6" x14ac:dyDescent="0.3">
      <c r="B312" s="24"/>
      <c r="C312" s="24"/>
      <c r="D312" s="24"/>
      <c r="E312" s="24"/>
      <c r="F312" s="24"/>
    </row>
    <row r="313" spans="2:6" x14ac:dyDescent="0.3">
      <c r="B313" s="24"/>
      <c r="C313" s="24"/>
      <c r="D313" s="24"/>
      <c r="E313" s="24"/>
      <c r="F313" s="24"/>
    </row>
    <row r="314" spans="2:6" x14ac:dyDescent="0.3">
      <c r="B314" s="24"/>
      <c r="C314" s="24"/>
      <c r="D314" s="24"/>
      <c r="E314" s="24"/>
      <c r="F314" s="24"/>
    </row>
    <row r="315" spans="2:6" x14ac:dyDescent="0.3">
      <c r="B315" s="24"/>
      <c r="C315" s="24"/>
      <c r="D315" s="24"/>
      <c r="E315" s="24"/>
      <c r="F315" s="24"/>
    </row>
    <row r="316" spans="2:6" x14ac:dyDescent="0.3">
      <c r="B316" s="24"/>
      <c r="C316" s="24"/>
      <c r="D316" s="24"/>
      <c r="E316" s="24"/>
      <c r="F316" s="24"/>
    </row>
    <row r="317" spans="2:6" x14ac:dyDescent="0.3">
      <c r="B317" s="24"/>
      <c r="C317" s="24"/>
      <c r="D317" s="24"/>
      <c r="E317" s="24"/>
      <c r="F317" s="24"/>
    </row>
    <row r="318" spans="2:6" x14ac:dyDescent="0.3">
      <c r="B318" s="24"/>
      <c r="C318" s="24"/>
      <c r="D318" s="24"/>
      <c r="E318" s="24"/>
      <c r="F318" s="24"/>
    </row>
    <row r="319" spans="2:6" x14ac:dyDescent="0.3">
      <c r="B319" s="24"/>
      <c r="C319" s="24"/>
      <c r="D319" s="24"/>
      <c r="E319" s="24"/>
      <c r="F319" s="24"/>
    </row>
    <row r="320" spans="2:6" x14ac:dyDescent="0.3">
      <c r="B320" s="24"/>
      <c r="C320" s="24"/>
      <c r="D320" s="24"/>
      <c r="E320" s="24"/>
      <c r="F320" s="24"/>
    </row>
    <row r="321" spans="2:6" x14ac:dyDescent="0.3">
      <c r="B321" s="24"/>
      <c r="C321" s="24"/>
      <c r="D321" s="24"/>
      <c r="E321" s="24"/>
      <c r="F321" s="24"/>
    </row>
    <row r="322" spans="2:6" x14ac:dyDescent="0.3">
      <c r="B322" s="24"/>
      <c r="C322" s="24"/>
      <c r="D322" s="24"/>
      <c r="E322" s="24"/>
      <c r="F322" s="24"/>
    </row>
    <row r="323" spans="2:6" x14ac:dyDescent="0.3">
      <c r="B323" s="24"/>
      <c r="C323" s="24"/>
      <c r="D323" s="24"/>
      <c r="E323" s="24"/>
      <c r="F323" s="24"/>
    </row>
    <row r="324" spans="2:6" x14ac:dyDescent="0.3">
      <c r="B324" s="24"/>
      <c r="C324" s="24"/>
      <c r="D324" s="24"/>
      <c r="E324" s="24"/>
      <c r="F324" s="24"/>
    </row>
    <row r="325" spans="2:6" x14ac:dyDescent="0.3">
      <c r="B325" s="24"/>
      <c r="C325" s="24"/>
      <c r="D325" s="24"/>
      <c r="E325" s="24"/>
      <c r="F325" s="24"/>
    </row>
    <row r="326" spans="2:6" x14ac:dyDescent="0.3">
      <c r="B326" s="24"/>
      <c r="C326" s="24"/>
      <c r="D326" s="24"/>
      <c r="E326" s="24"/>
      <c r="F326" s="24"/>
    </row>
    <row r="327" spans="2:6" x14ac:dyDescent="0.3">
      <c r="B327" s="24"/>
      <c r="C327" s="24"/>
      <c r="D327" s="24"/>
      <c r="E327" s="24"/>
      <c r="F327" s="24"/>
    </row>
    <row r="328" spans="2:6" x14ac:dyDescent="0.3">
      <c r="B328" s="24"/>
      <c r="C328" s="24"/>
      <c r="D328" s="24"/>
      <c r="E328" s="24"/>
      <c r="F328" s="24"/>
    </row>
    <row r="329" spans="2:6" x14ac:dyDescent="0.3">
      <c r="B329" s="24"/>
      <c r="C329" s="24"/>
      <c r="D329" s="24"/>
      <c r="E329" s="24"/>
      <c r="F329" s="24"/>
    </row>
    <row r="330" spans="2:6" x14ac:dyDescent="0.3">
      <c r="B330" s="24"/>
      <c r="C330" s="24"/>
      <c r="D330" s="24"/>
      <c r="E330" s="24"/>
      <c r="F330" s="24"/>
    </row>
    <row r="331" spans="2:6" x14ac:dyDescent="0.3">
      <c r="B331" s="24"/>
      <c r="C331" s="24"/>
      <c r="D331" s="24"/>
      <c r="E331" s="24"/>
      <c r="F331" s="24"/>
    </row>
    <row r="332" spans="2:6" x14ac:dyDescent="0.3">
      <c r="B332" s="24"/>
      <c r="C332" s="24"/>
      <c r="D332" s="24"/>
      <c r="E332" s="24"/>
      <c r="F332" s="24"/>
    </row>
    <row r="333" spans="2:6" x14ac:dyDescent="0.3">
      <c r="B333" s="24"/>
      <c r="C333" s="24"/>
      <c r="D333" s="24"/>
      <c r="E333" s="24"/>
      <c r="F333" s="24"/>
    </row>
    <row r="334" spans="2:6" x14ac:dyDescent="0.3">
      <c r="B334" s="24"/>
      <c r="C334" s="24"/>
      <c r="D334" s="24"/>
      <c r="E334" s="24"/>
      <c r="F334" s="24"/>
    </row>
    <row r="335" spans="2:6" x14ac:dyDescent="0.3">
      <c r="B335" s="24"/>
      <c r="C335" s="24"/>
      <c r="D335" s="24"/>
      <c r="E335" s="24"/>
      <c r="F335" s="24"/>
    </row>
    <row r="336" spans="2:6" x14ac:dyDescent="0.3">
      <c r="B336" s="24"/>
      <c r="C336" s="24"/>
      <c r="D336" s="24"/>
      <c r="E336" s="24"/>
      <c r="F336" s="24"/>
    </row>
    <row r="337" spans="2:6" x14ac:dyDescent="0.3">
      <c r="B337" s="24"/>
      <c r="C337" s="24"/>
      <c r="D337" s="24"/>
      <c r="E337" s="24"/>
      <c r="F337" s="24"/>
    </row>
    <row r="338" spans="2:6" x14ac:dyDescent="0.3">
      <c r="B338" s="24"/>
      <c r="C338" s="24"/>
      <c r="D338" s="24"/>
      <c r="E338" s="24"/>
      <c r="F338" s="24"/>
    </row>
    <row r="339" spans="2:6" x14ac:dyDescent="0.3">
      <c r="B339" s="24"/>
      <c r="C339" s="24"/>
      <c r="D339" s="24"/>
      <c r="E339" s="24"/>
      <c r="F339" s="24"/>
    </row>
    <row r="340" spans="2:6" x14ac:dyDescent="0.3">
      <c r="B340" s="24"/>
      <c r="C340" s="24"/>
      <c r="D340" s="24"/>
      <c r="E340" s="24"/>
      <c r="F340" s="24"/>
    </row>
    <row r="341" spans="2:6" x14ac:dyDescent="0.3">
      <c r="B341" s="24"/>
      <c r="C341" s="24"/>
      <c r="D341" s="24"/>
      <c r="E341" s="24"/>
      <c r="F341" s="24"/>
    </row>
    <row r="342" spans="2:6" x14ac:dyDescent="0.3">
      <c r="B342" s="24"/>
      <c r="C342" s="24"/>
      <c r="D342" s="24"/>
      <c r="E342" s="24"/>
      <c r="F342" s="24"/>
    </row>
    <row r="343" spans="2:6" x14ac:dyDescent="0.3">
      <c r="B343" s="24"/>
      <c r="C343" s="24"/>
      <c r="D343" s="24"/>
      <c r="E343" s="24"/>
      <c r="F343" s="24"/>
    </row>
    <row r="344" spans="2:6" x14ac:dyDescent="0.3">
      <c r="B344" s="24"/>
      <c r="C344" s="24"/>
      <c r="D344" s="24"/>
      <c r="E344" s="24"/>
      <c r="F344" s="24"/>
    </row>
    <row r="345" spans="2:6" x14ac:dyDescent="0.3">
      <c r="B345" s="24"/>
      <c r="C345" s="24"/>
      <c r="D345" s="24"/>
      <c r="E345" s="24"/>
      <c r="F345" s="24"/>
    </row>
    <row r="346" spans="2:6" x14ac:dyDescent="0.3">
      <c r="B346" s="24"/>
      <c r="C346" s="24"/>
      <c r="D346" s="24"/>
      <c r="E346" s="24"/>
      <c r="F346" s="24"/>
    </row>
    <row r="347" spans="2:6" x14ac:dyDescent="0.3">
      <c r="B347" s="24"/>
      <c r="C347" s="24"/>
      <c r="D347" s="24"/>
      <c r="E347" s="24"/>
      <c r="F347" s="24"/>
    </row>
    <row r="348" spans="2:6" x14ac:dyDescent="0.3">
      <c r="B348" s="24"/>
      <c r="C348" s="24"/>
      <c r="D348" s="24"/>
      <c r="E348" s="24"/>
      <c r="F348" s="24"/>
    </row>
    <row r="349" spans="2:6" x14ac:dyDescent="0.3">
      <c r="B349" s="24"/>
      <c r="C349" s="24"/>
      <c r="D349" s="24"/>
      <c r="E349" s="24"/>
      <c r="F349" s="24"/>
    </row>
    <row r="350" spans="2:6" x14ac:dyDescent="0.3">
      <c r="B350" s="24"/>
      <c r="C350" s="24"/>
      <c r="D350" s="24"/>
      <c r="E350" s="24"/>
      <c r="F350" s="24"/>
    </row>
    <row r="351" spans="2:6" x14ac:dyDescent="0.3">
      <c r="B351" s="24"/>
      <c r="C351" s="24"/>
      <c r="D351" s="24"/>
      <c r="E351" s="24"/>
      <c r="F351" s="24"/>
    </row>
    <row r="352" spans="2:6" x14ac:dyDescent="0.3">
      <c r="B352" s="24"/>
      <c r="C352" s="24"/>
      <c r="D352" s="24"/>
      <c r="E352" s="24"/>
      <c r="F352" s="24"/>
    </row>
    <row r="353" spans="2:6" x14ac:dyDescent="0.3">
      <c r="B353" s="24"/>
      <c r="C353" s="24"/>
      <c r="D353" s="24"/>
      <c r="E353" s="24"/>
      <c r="F353" s="24"/>
    </row>
    <row r="354" spans="2:6" x14ac:dyDescent="0.3">
      <c r="B354" s="24"/>
      <c r="C354" s="24"/>
      <c r="D354" s="24"/>
      <c r="E354" s="24"/>
      <c r="F354" s="24"/>
    </row>
    <row r="355" spans="2:6" x14ac:dyDescent="0.3">
      <c r="B355" s="24"/>
      <c r="C355" s="24"/>
      <c r="D355" s="24"/>
      <c r="E355" s="24"/>
      <c r="F355" s="24"/>
    </row>
    <row r="356" spans="2:6" x14ac:dyDescent="0.3">
      <c r="B356" s="24"/>
      <c r="C356" s="24"/>
      <c r="D356" s="24"/>
      <c r="E356" s="24"/>
      <c r="F356" s="24"/>
    </row>
    <row r="357" spans="2:6" x14ac:dyDescent="0.3">
      <c r="B357" s="24"/>
      <c r="C357" s="24"/>
      <c r="D357" s="24"/>
      <c r="E357" s="24"/>
      <c r="F357" s="24"/>
    </row>
    <row r="358" spans="2:6" x14ac:dyDescent="0.3">
      <c r="B358" s="24"/>
      <c r="C358" s="24"/>
      <c r="D358" s="24"/>
      <c r="E358" s="24"/>
      <c r="F358" s="24"/>
    </row>
    <row r="359" spans="2:6" x14ac:dyDescent="0.3">
      <c r="B359" s="24"/>
      <c r="C359" s="24"/>
      <c r="D359" s="24"/>
      <c r="E359" s="24"/>
      <c r="F359" s="24"/>
    </row>
    <row r="360" spans="2:6" x14ac:dyDescent="0.3">
      <c r="B360" s="24"/>
      <c r="C360" s="24"/>
      <c r="D360" s="24"/>
      <c r="E360" s="24"/>
      <c r="F360" s="24"/>
    </row>
    <row r="361" spans="2:6" x14ac:dyDescent="0.3">
      <c r="B361" s="24"/>
      <c r="C361" s="24"/>
      <c r="D361" s="24"/>
      <c r="E361" s="24"/>
      <c r="F361" s="24"/>
    </row>
    <row r="362" spans="2:6" x14ac:dyDescent="0.3">
      <c r="B362" s="24"/>
      <c r="C362" s="24"/>
      <c r="D362" s="24"/>
      <c r="E362" s="24"/>
      <c r="F362" s="24"/>
    </row>
    <row r="363" spans="2:6" x14ac:dyDescent="0.3">
      <c r="B363" s="24"/>
      <c r="C363" s="24"/>
      <c r="D363" s="24"/>
      <c r="E363" s="24"/>
      <c r="F363" s="24"/>
    </row>
    <row r="364" spans="2:6" x14ac:dyDescent="0.3">
      <c r="B364" s="24"/>
      <c r="C364" s="24"/>
      <c r="D364" s="24"/>
      <c r="E364" s="24"/>
      <c r="F364" s="24"/>
    </row>
    <row r="365" spans="2:6" x14ac:dyDescent="0.3">
      <c r="B365" s="24"/>
      <c r="C365" s="24"/>
      <c r="D365" s="24"/>
      <c r="E365" s="24"/>
      <c r="F365" s="24"/>
    </row>
    <row r="366" spans="2:6" x14ac:dyDescent="0.3">
      <c r="B366" s="24"/>
      <c r="C366" s="24"/>
      <c r="D366" s="24"/>
      <c r="E366" s="24"/>
      <c r="F366" s="24"/>
    </row>
    <row r="367" spans="2:6" x14ac:dyDescent="0.3">
      <c r="B367" s="24"/>
      <c r="C367" s="24"/>
      <c r="D367" s="24"/>
      <c r="E367" s="24"/>
      <c r="F367" s="24"/>
    </row>
    <row r="368" spans="2:6" x14ac:dyDescent="0.3">
      <c r="B368" s="24"/>
      <c r="C368" s="24"/>
      <c r="D368" s="24"/>
      <c r="E368" s="24"/>
      <c r="F368" s="24"/>
    </row>
    <row r="369" spans="2:6" x14ac:dyDescent="0.3">
      <c r="B369" s="24"/>
      <c r="C369" s="24"/>
      <c r="D369" s="24"/>
      <c r="E369" s="24"/>
      <c r="F369" s="24"/>
    </row>
    <row r="370" spans="2:6" x14ac:dyDescent="0.3">
      <c r="B370" s="24"/>
      <c r="C370" s="24"/>
      <c r="D370" s="24"/>
      <c r="E370" s="24"/>
      <c r="F370" s="24"/>
    </row>
    <row r="371" spans="2:6" x14ac:dyDescent="0.3">
      <c r="B371" s="24"/>
      <c r="C371" s="24"/>
      <c r="D371" s="24"/>
      <c r="E371" s="24"/>
      <c r="F371" s="24"/>
    </row>
    <row r="372" spans="2:6" x14ac:dyDescent="0.3">
      <c r="B372" s="24"/>
      <c r="C372" s="24"/>
      <c r="D372" s="24"/>
      <c r="E372" s="24"/>
      <c r="F372" s="24"/>
    </row>
    <row r="373" spans="2:6" x14ac:dyDescent="0.3">
      <c r="B373" s="24"/>
      <c r="C373" s="24"/>
      <c r="D373" s="24"/>
      <c r="E373" s="24"/>
      <c r="F373" s="24"/>
    </row>
  </sheetData>
  <sheetProtection password="CAC7" sheet="1" objects="1" scenarios="1"/>
  <pageMargins left="0.3" right="0.3" top="0.3" bottom="0.3" header="0.3" footer="0.3"/>
  <pageSetup scale="68" fitToWidth="0" fitToHeight="0" orientation="landscape"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946E3A"/>
    <pageSetUpPr fitToPage="1"/>
  </sheetPr>
  <dimension ref="A1:O26"/>
  <sheetViews>
    <sheetView showGridLines="0" showRowColHeaders="0" zoomScaleNormal="100" workbookViewId="0">
      <selection activeCell="E6" sqref="E6"/>
    </sheetView>
  </sheetViews>
  <sheetFormatPr defaultRowHeight="15.75" x14ac:dyDescent="0.3"/>
  <cols>
    <col min="1" max="1" width="1.6640625" customWidth="1"/>
    <col min="2" max="2" width="28.21875" customWidth="1"/>
    <col min="3" max="3" width="78.6640625" customWidth="1"/>
    <col min="4" max="6" width="28.21875" customWidth="1"/>
    <col min="7" max="7" width="6.44140625" customWidth="1"/>
  </cols>
  <sheetData>
    <row r="1" spans="1:15" s="3" customFormat="1" ht="57" customHeight="1" x14ac:dyDescent="0.25">
      <c r="A1" s="5"/>
      <c r="B1" s="5"/>
      <c r="C1" s="5"/>
      <c r="D1" s="5"/>
      <c r="E1" s="5"/>
      <c r="F1" s="5"/>
      <c r="G1" s="5"/>
      <c r="H1" s="5"/>
      <c r="I1" s="5"/>
      <c r="J1" s="5"/>
      <c r="K1" s="5"/>
      <c r="L1" s="5"/>
      <c r="M1" s="5"/>
      <c r="N1" s="5"/>
      <c r="O1" s="5"/>
    </row>
    <row r="2" spans="1:15" s="27" customFormat="1" ht="15" customHeight="1" x14ac:dyDescent="0.25">
      <c r="A2" s="26"/>
      <c r="B2" s="26"/>
      <c r="C2" s="26"/>
      <c r="D2" s="26"/>
      <c r="E2" s="26"/>
      <c r="F2" s="26"/>
      <c r="G2" s="26"/>
      <c r="H2" s="26"/>
      <c r="I2" s="26"/>
      <c r="J2" s="26"/>
      <c r="K2" s="26"/>
      <c r="L2" s="26"/>
      <c r="M2" s="26"/>
      <c r="N2" s="26"/>
      <c r="O2" s="26"/>
    </row>
    <row r="3" spans="1:15" s="9" customFormat="1" ht="21.75" x14ac:dyDescent="0.4">
      <c r="A3" s="11"/>
      <c r="B3" s="29" t="s">
        <v>44</v>
      </c>
      <c r="C3" s="11"/>
      <c r="D3" s="11"/>
      <c r="E3" s="11"/>
      <c r="F3" s="11"/>
      <c r="G3" s="11"/>
    </row>
    <row r="4" spans="1:15" s="2" customFormat="1" ht="15.75" customHeight="1" x14ac:dyDescent="0.3">
      <c r="A4" s="12"/>
      <c r="B4" s="12"/>
      <c r="C4" s="12"/>
      <c r="D4" s="12"/>
      <c r="E4" s="12"/>
      <c r="F4" s="12"/>
      <c r="G4" s="12"/>
    </row>
    <row r="5" spans="1:15" s="7" customFormat="1" ht="15.75" customHeight="1" x14ac:dyDescent="0.3">
      <c r="A5" s="12"/>
      <c r="B5" s="63"/>
      <c r="C5" s="64"/>
      <c r="D5" s="12"/>
      <c r="E5" s="12"/>
      <c r="F5" s="12"/>
      <c r="G5" s="12"/>
    </row>
    <row r="6" spans="1:15" s="2" customFormat="1" ht="21.75" customHeight="1" x14ac:dyDescent="0.3">
      <c r="A6" s="12"/>
      <c r="B6" s="56" t="s">
        <v>23</v>
      </c>
      <c r="C6" s="56" t="s">
        <v>24</v>
      </c>
      <c r="D6" s="12"/>
      <c r="E6" s="12"/>
      <c r="F6" s="12"/>
      <c r="G6" s="12"/>
    </row>
    <row r="7" spans="1:15" s="2" customFormat="1" ht="18" customHeight="1" x14ac:dyDescent="0.3">
      <c r="A7" s="12"/>
      <c r="B7" s="30" t="s">
        <v>12</v>
      </c>
      <c r="C7" s="79" t="s">
        <v>43</v>
      </c>
      <c r="D7" s="12"/>
      <c r="E7" s="12"/>
      <c r="F7" s="12"/>
      <c r="G7" s="12"/>
    </row>
    <row r="8" spans="1:15" s="2" customFormat="1" ht="18" customHeight="1" x14ac:dyDescent="0.3">
      <c r="A8" s="12"/>
      <c r="B8" s="30"/>
      <c r="C8" s="79" t="s">
        <v>42</v>
      </c>
      <c r="D8" s="12"/>
      <c r="E8" s="12"/>
      <c r="F8" s="12"/>
      <c r="G8" s="12"/>
    </row>
    <row r="9" spans="1:15" s="2" customFormat="1" ht="18" customHeight="1" x14ac:dyDescent="0.3">
      <c r="A9" s="12"/>
      <c r="B9" s="30"/>
      <c r="C9" s="79" t="s">
        <v>45</v>
      </c>
      <c r="D9" s="12"/>
      <c r="E9" s="12"/>
      <c r="F9" s="12"/>
      <c r="G9" s="12"/>
    </row>
    <row r="10" spans="1:15" s="2" customFormat="1" ht="18" customHeight="1" x14ac:dyDescent="0.3">
      <c r="A10" s="12"/>
      <c r="B10" s="77"/>
      <c r="C10" s="80" t="s">
        <v>46</v>
      </c>
      <c r="D10" s="12"/>
      <c r="E10" s="12"/>
      <c r="F10" s="12"/>
      <c r="G10" s="12"/>
    </row>
    <row r="11" spans="1:15" ht="18" customHeight="1" x14ac:dyDescent="0.3">
      <c r="A11" s="14"/>
      <c r="B11" s="78" t="s">
        <v>25</v>
      </c>
      <c r="C11" s="81" t="s">
        <v>26</v>
      </c>
      <c r="D11" s="14"/>
      <c r="E11" s="14"/>
      <c r="F11" s="14"/>
      <c r="G11" s="14"/>
    </row>
    <row r="12" spans="1:15" ht="18" customHeight="1" x14ac:dyDescent="0.3">
      <c r="A12" s="14"/>
      <c r="B12" s="78" t="s">
        <v>27</v>
      </c>
      <c r="C12" s="81" t="s">
        <v>28</v>
      </c>
      <c r="D12" s="14"/>
      <c r="E12" s="14"/>
      <c r="F12" s="14"/>
      <c r="G12" s="14"/>
    </row>
    <row r="13" spans="1:15" ht="18" customHeight="1" x14ac:dyDescent="0.3">
      <c r="A13" s="14"/>
      <c r="B13" s="78" t="s">
        <v>29</v>
      </c>
      <c r="C13" s="81" t="s">
        <v>30</v>
      </c>
      <c r="D13" s="14"/>
      <c r="E13" s="14"/>
      <c r="F13" s="14"/>
      <c r="G13" s="14"/>
    </row>
    <row r="14" spans="1:15" ht="18" customHeight="1" x14ac:dyDescent="0.3">
      <c r="A14" s="14"/>
      <c r="B14" s="78" t="s">
        <v>31</v>
      </c>
      <c r="C14" s="81" t="s">
        <v>32</v>
      </c>
      <c r="D14" s="14"/>
      <c r="E14" s="14"/>
      <c r="F14" s="14"/>
      <c r="G14" s="14"/>
    </row>
    <row r="15" spans="1:15" ht="18" customHeight="1" x14ac:dyDescent="0.3">
      <c r="A15" s="14"/>
      <c r="B15" s="78" t="s">
        <v>13</v>
      </c>
      <c r="C15" s="81" t="s">
        <v>33</v>
      </c>
      <c r="D15" s="14"/>
      <c r="E15" s="14"/>
      <c r="F15" s="14"/>
      <c r="G15" s="14"/>
    </row>
    <row r="16" spans="1:15" ht="18" customHeight="1" x14ac:dyDescent="0.3">
      <c r="A16" s="14"/>
      <c r="B16" s="78" t="s">
        <v>34</v>
      </c>
      <c r="C16" s="81" t="s">
        <v>35</v>
      </c>
      <c r="D16" s="14"/>
      <c r="E16" s="14"/>
      <c r="F16" s="14"/>
      <c r="G16" s="14"/>
    </row>
    <row r="17" spans="1:7" ht="18" customHeight="1" x14ac:dyDescent="0.3">
      <c r="A17" s="14"/>
      <c r="B17" s="78" t="s">
        <v>36</v>
      </c>
      <c r="C17" s="81" t="s">
        <v>37</v>
      </c>
      <c r="D17" s="14"/>
      <c r="E17" s="14"/>
      <c r="F17" s="14"/>
      <c r="G17" s="14"/>
    </row>
    <row r="18" spans="1:7" ht="18" customHeight="1" x14ac:dyDescent="0.3">
      <c r="A18" s="14"/>
      <c r="B18" s="78" t="s">
        <v>38</v>
      </c>
      <c r="C18" s="81" t="s">
        <v>39</v>
      </c>
      <c r="D18" s="14"/>
      <c r="E18" s="14"/>
      <c r="F18" s="14"/>
      <c r="G18" s="14"/>
    </row>
    <row r="19" spans="1:7" ht="18" customHeight="1" x14ac:dyDescent="0.3">
      <c r="A19" s="14"/>
      <c r="B19" s="78" t="s">
        <v>40</v>
      </c>
      <c r="C19" s="81" t="s">
        <v>41</v>
      </c>
      <c r="D19" s="14"/>
      <c r="E19" s="14"/>
      <c r="F19" s="14"/>
      <c r="G19" s="14"/>
    </row>
    <row r="20" spans="1:7" x14ac:dyDescent="0.3">
      <c r="A20" s="14"/>
      <c r="B20" s="14"/>
      <c r="C20" s="14"/>
      <c r="D20" s="14"/>
      <c r="E20" s="14"/>
      <c r="F20" s="14"/>
      <c r="G20" s="14"/>
    </row>
    <row r="21" spans="1:7" x14ac:dyDescent="0.3">
      <c r="A21" s="14"/>
      <c r="B21" s="14"/>
      <c r="C21" s="14"/>
      <c r="D21" s="14"/>
      <c r="E21" s="14"/>
      <c r="F21" s="14"/>
      <c r="G21" s="14"/>
    </row>
    <row r="22" spans="1:7" x14ac:dyDescent="0.3">
      <c r="A22" s="14"/>
      <c r="B22" s="14"/>
      <c r="C22" s="14"/>
      <c r="D22" s="14"/>
      <c r="E22" s="14"/>
      <c r="F22" s="14"/>
      <c r="G22" s="14"/>
    </row>
    <row r="23" spans="1:7" x14ac:dyDescent="0.3">
      <c r="A23" s="14"/>
      <c r="B23" s="14"/>
      <c r="C23" s="14"/>
      <c r="D23" s="14"/>
      <c r="E23" s="14"/>
      <c r="F23" s="14"/>
      <c r="G23" s="14"/>
    </row>
    <row r="24" spans="1:7" x14ac:dyDescent="0.3">
      <c r="A24" s="14"/>
      <c r="B24" s="14"/>
      <c r="C24" s="14"/>
      <c r="D24" s="14"/>
      <c r="E24" s="14"/>
      <c r="F24" s="14"/>
      <c r="G24" s="14"/>
    </row>
    <row r="25" spans="1:7" x14ac:dyDescent="0.3">
      <c r="A25" s="14"/>
      <c r="B25" s="14"/>
      <c r="C25" s="14"/>
      <c r="D25" s="14"/>
      <c r="E25" s="14"/>
      <c r="F25" s="14"/>
      <c r="G25" s="14"/>
    </row>
    <row r="26" spans="1:7" x14ac:dyDescent="0.3">
      <c r="A26" s="14"/>
      <c r="B26" s="14"/>
      <c r="C26" s="14"/>
      <c r="D26" s="14"/>
      <c r="E26" s="14"/>
      <c r="F26" s="14"/>
      <c r="G26" s="14"/>
    </row>
  </sheetData>
  <sheetProtection algorithmName="SHA-512" hashValue="7xn0ssCjj0dAhEi1ON36pyDIpVPLD1e5YJ6bkLyPSSv1Bm+HHPEx7xct0QCcF1+Q5aA+8qWLHz5ZFyadwV1Ylw==" saltValue="9wOmXBH9dj8EJ+XsKNDhVg==" spinCount="100000" sheet="1" objects="1" scenarios="1"/>
  <pageMargins left="0.7" right="0.7" top="0.75" bottom="0.75" header="0.3" footer="0.3"/>
  <pageSetup scale="71"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G68"/>
  <sheetViews>
    <sheetView showGridLines="0" topLeftCell="A4" workbookViewId="0">
      <selection activeCell="G29" sqref="G29"/>
    </sheetView>
  </sheetViews>
  <sheetFormatPr defaultRowHeight="15.75" x14ac:dyDescent="0.3"/>
  <cols>
    <col min="1" max="1" width="1.6640625" customWidth="1"/>
    <col min="2" max="2" width="23" customWidth="1"/>
    <col min="3" max="3" width="32.44140625" customWidth="1"/>
    <col min="4" max="4" width="12.33203125" customWidth="1"/>
    <col min="5" max="5" width="12" customWidth="1"/>
    <col min="6" max="6" width="17.77734375" customWidth="1"/>
    <col min="7" max="7" width="6.77734375" style="91" customWidth="1"/>
    <col min="8" max="8" width="8.77734375" style="91" customWidth="1"/>
    <col min="9" max="9" width="10" style="91" customWidth="1"/>
    <col min="10" max="10" width="8" style="91" customWidth="1"/>
    <col min="11" max="11" width="7.44140625" style="91" customWidth="1"/>
    <col min="12" max="12" width="6.44140625" style="91" customWidth="1"/>
    <col min="13" max="13" width="6.88671875" style="91" customWidth="1"/>
    <col min="14" max="14" width="5.6640625" style="91" customWidth="1"/>
    <col min="15" max="15" width="5.21875" style="91" customWidth="1"/>
    <col min="16" max="16" width="12.33203125" customWidth="1"/>
    <col min="17" max="17" width="14.33203125" style="15" customWidth="1"/>
    <col min="18" max="18" width="7.21875" customWidth="1"/>
    <col min="19" max="19" width="15.21875" customWidth="1"/>
    <col min="20" max="20" width="9.44140625" customWidth="1"/>
    <col min="22" max="22" width="15" customWidth="1"/>
    <col min="23" max="23" width="13.88671875" customWidth="1"/>
    <col min="24" max="24" width="12.109375" customWidth="1"/>
  </cols>
  <sheetData>
    <row r="1" spans="1:33" s="3" customFormat="1" ht="39.75" customHeight="1" x14ac:dyDescent="0.25">
      <c r="A1" s="5"/>
      <c r="B1" s="5"/>
      <c r="C1" s="5"/>
      <c r="D1" s="5"/>
      <c r="E1" s="5"/>
      <c r="F1" s="5"/>
      <c r="G1" s="99"/>
      <c r="H1" s="99"/>
      <c r="I1" s="99"/>
      <c r="J1" s="99"/>
      <c r="K1" s="99"/>
      <c r="L1" s="99"/>
      <c r="M1" s="99"/>
      <c r="N1" s="99"/>
      <c r="O1" s="99"/>
      <c r="P1" s="5"/>
      <c r="Q1" s="20"/>
      <c r="R1" s="5"/>
      <c r="S1" s="5"/>
      <c r="T1" s="5"/>
      <c r="U1" s="5"/>
      <c r="V1" s="5"/>
      <c r="W1" s="5" t="s">
        <v>226</v>
      </c>
    </row>
    <row r="2" spans="1:33" s="1" customFormat="1" ht="9" customHeight="1" x14ac:dyDescent="0.25">
      <c r="A2" s="4"/>
      <c r="B2" s="4"/>
      <c r="C2" s="4"/>
      <c r="D2" s="4"/>
      <c r="E2" s="4"/>
      <c r="F2" s="4"/>
      <c r="G2" s="100"/>
      <c r="H2" s="100"/>
      <c r="I2" s="100"/>
      <c r="J2" s="100"/>
      <c r="K2" s="100"/>
      <c r="L2" s="100"/>
      <c r="M2" s="100"/>
      <c r="N2" s="100"/>
      <c r="O2" s="100"/>
      <c r="P2" s="4"/>
      <c r="Q2" s="21"/>
      <c r="R2" s="4"/>
      <c r="S2" s="4"/>
      <c r="T2" s="4"/>
      <c r="U2" s="4"/>
      <c r="V2" s="4"/>
      <c r="W2" s="4"/>
      <c r="X2" s="4"/>
      <c r="Y2" s="4"/>
      <c r="Z2" s="4"/>
      <c r="AA2" s="4"/>
    </row>
    <row r="3" spans="1:33" s="9" customFormat="1" ht="21.75" x14ac:dyDescent="0.4">
      <c r="A3" s="11"/>
      <c r="B3" s="10" t="s">
        <v>19</v>
      </c>
      <c r="C3" s="11"/>
      <c r="D3" s="11"/>
      <c r="G3" s="101"/>
      <c r="H3" s="101"/>
      <c r="I3" s="101"/>
      <c r="J3" s="101"/>
      <c r="K3" s="101"/>
      <c r="L3" s="101"/>
      <c r="M3" s="101"/>
      <c r="N3" s="101"/>
      <c r="O3" s="101"/>
      <c r="P3" s="11"/>
      <c r="Q3" s="22"/>
      <c r="R3" s="11"/>
    </row>
    <row r="4" spans="1:33" s="103" customFormat="1" x14ac:dyDescent="0.3">
      <c r="A4" s="102"/>
      <c r="B4" s="102"/>
      <c r="C4" s="114"/>
      <c r="D4" s="114"/>
      <c r="E4" s="113"/>
      <c r="F4" s="113"/>
      <c r="G4" s="127" t="s">
        <v>238</v>
      </c>
      <c r="H4" s="127"/>
      <c r="I4" s="127" t="s">
        <v>241</v>
      </c>
      <c r="J4" s="127"/>
      <c r="K4" s="127" t="s">
        <v>216</v>
      </c>
      <c r="L4" s="127"/>
      <c r="M4" s="127"/>
      <c r="N4" s="127"/>
      <c r="O4" s="127"/>
      <c r="P4" s="102"/>
      <c r="Q4" s="104"/>
      <c r="R4" s="102"/>
      <c r="X4" s="113"/>
      <c r="Y4" s="127" t="s">
        <v>238</v>
      </c>
      <c r="Z4" s="127"/>
      <c r="AA4" s="127" t="s">
        <v>241</v>
      </c>
      <c r="AB4" s="127"/>
      <c r="AC4" s="127" t="s">
        <v>216</v>
      </c>
      <c r="AD4" s="127"/>
      <c r="AE4" s="127"/>
      <c r="AF4" s="127"/>
      <c r="AG4" s="127"/>
    </row>
    <row r="5" spans="1:33" s="25" customFormat="1" ht="13.5" x14ac:dyDescent="0.25">
      <c r="A5" s="16"/>
      <c r="B5" s="16" t="s">
        <v>182</v>
      </c>
      <c r="C5" s="105" t="s">
        <v>47</v>
      </c>
      <c r="D5" s="105" t="s">
        <v>50</v>
      </c>
      <c r="E5" s="105" t="s">
        <v>11</v>
      </c>
      <c r="F5" s="105" t="s">
        <v>211</v>
      </c>
      <c r="G5" s="111" t="s">
        <v>239</v>
      </c>
      <c r="H5" s="111" t="s">
        <v>240</v>
      </c>
      <c r="I5" s="111" t="s">
        <v>239</v>
      </c>
      <c r="J5" s="111" t="s">
        <v>240</v>
      </c>
      <c r="K5" s="111" t="s">
        <v>244</v>
      </c>
      <c r="L5" s="111" t="s">
        <v>217</v>
      </c>
      <c r="M5" s="111" t="s">
        <v>219</v>
      </c>
      <c r="N5" s="111" t="s">
        <v>59</v>
      </c>
      <c r="O5" s="111" t="s">
        <v>220</v>
      </c>
      <c r="P5" s="16" t="s">
        <v>48</v>
      </c>
      <c r="Q5" s="16" t="s">
        <v>49</v>
      </c>
      <c r="R5" s="16" t="s">
        <v>25</v>
      </c>
      <c r="S5" s="16"/>
      <c r="T5" s="16" t="s">
        <v>51</v>
      </c>
      <c r="U5" s="25" t="s">
        <v>183</v>
      </c>
      <c r="V5" s="16" t="s">
        <v>199</v>
      </c>
      <c r="X5" s="112" t="s">
        <v>221</v>
      </c>
      <c r="Y5" s="111" t="s">
        <v>239</v>
      </c>
      <c r="Z5" s="111" t="s">
        <v>240</v>
      </c>
      <c r="AA5" s="111" t="s">
        <v>239</v>
      </c>
      <c r="AB5" s="111" t="s">
        <v>240</v>
      </c>
      <c r="AC5" s="111" t="s">
        <v>244</v>
      </c>
      <c r="AD5" s="111" t="s">
        <v>217</v>
      </c>
      <c r="AE5" s="111" t="s">
        <v>219</v>
      </c>
      <c r="AF5" s="111" t="s">
        <v>59</v>
      </c>
      <c r="AG5" s="111" t="s">
        <v>220</v>
      </c>
    </row>
    <row r="6" spans="1:33" s="15" customFormat="1" x14ac:dyDescent="0.3">
      <c r="A6" s="19"/>
      <c r="B6" s="18" t="s">
        <v>10</v>
      </c>
      <c r="C6" s="106" t="s">
        <v>10</v>
      </c>
      <c r="D6" s="106" t="s">
        <v>191</v>
      </c>
      <c r="E6" s="106" t="s">
        <v>191</v>
      </c>
      <c r="F6" s="106" t="s">
        <v>191</v>
      </c>
      <c r="G6" s="108" t="s">
        <v>56</v>
      </c>
      <c r="H6" s="108" t="s">
        <v>56</v>
      </c>
      <c r="I6" s="108" t="s">
        <v>56</v>
      </c>
      <c r="J6" s="108" t="s">
        <v>56</v>
      </c>
      <c r="K6" s="108" t="s">
        <v>191</v>
      </c>
      <c r="L6" s="108" t="s">
        <v>191</v>
      </c>
      <c r="M6" s="108" t="s">
        <v>191</v>
      </c>
      <c r="N6" s="108" t="s">
        <v>191</v>
      </c>
      <c r="O6" s="108" t="s">
        <v>191</v>
      </c>
      <c r="P6" s="18" t="s">
        <v>186</v>
      </c>
      <c r="Q6" s="18">
        <v>1</v>
      </c>
      <c r="R6" s="18" t="s">
        <v>10</v>
      </c>
      <c r="S6" s="18"/>
      <c r="T6" s="18" t="s">
        <v>10</v>
      </c>
      <c r="U6" s="18" t="s">
        <v>186</v>
      </c>
      <c r="V6" s="18" t="s">
        <v>10</v>
      </c>
      <c r="W6" s="18"/>
      <c r="X6" s="106" t="s">
        <v>10</v>
      </c>
      <c r="Y6" s="115"/>
      <c r="Z6" s="115"/>
      <c r="AA6" s="115"/>
      <c r="AB6" s="115"/>
      <c r="AC6" s="115"/>
      <c r="AD6" s="115"/>
      <c r="AE6" s="115"/>
      <c r="AF6" s="115"/>
      <c r="AG6" s="115"/>
    </row>
    <row r="7" spans="1:33" x14ac:dyDescent="0.3">
      <c r="A7" s="14"/>
      <c r="B7" s="17" t="s">
        <v>209</v>
      </c>
      <c r="C7" s="106" t="s">
        <v>205</v>
      </c>
      <c r="D7" s="107" t="s">
        <v>55</v>
      </c>
      <c r="E7" s="107" t="s">
        <v>187</v>
      </c>
      <c r="F7" s="106">
        <v>7</v>
      </c>
      <c r="G7" s="108" t="s">
        <v>63</v>
      </c>
      <c r="H7" s="108" t="s">
        <v>60</v>
      </c>
      <c r="I7" s="108" t="s">
        <v>186</v>
      </c>
      <c r="J7" s="108" t="s">
        <v>243</v>
      </c>
      <c r="K7" s="108" t="s">
        <v>60</v>
      </c>
      <c r="L7" s="108" t="s">
        <v>60</v>
      </c>
      <c r="M7" s="119" t="s">
        <v>261</v>
      </c>
      <c r="N7" s="108" t="s">
        <v>60</v>
      </c>
      <c r="O7" s="108" t="s">
        <v>60</v>
      </c>
      <c r="P7" s="17"/>
      <c r="Q7" s="18"/>
      <c r="R7" s="17" t="s">
        <v>53</v>
      </c>
      <c r="S7" s="17" t="s">
        <v>54</v>
      </c>
      <c r="T7" s="17" t="s">
        <v>60</v>
      </c>
      <c r="U7" s="17"/>
      <c r="V7" s="18" t="s">
        <v>200</v>
      </c>
      <c r="W7" s="18"/>
      <c r="X7" s="106" t="s">
        <v>55</v>
      </c>
      <c r="Y7" s="115"/>
      <c r="Z7" s="115"/>
      <c r="AA7" s="115"/>
      <c r="AB7" s="115"/>
      <c r="AC7" s="115"/>
      <c r="AD7" s="115"/>
      <c r="AE7" s="115"/>
      <c r="AF7" s="115"/>
      <c r="AG7" s="115"/>
    </row>
    <row r="8" spans="1:33" x14ac:dyDescent="0.3">
      <c r="A8" s="14"/>
      <c r="B8" s="17"/>
      <c r="C8" s="106" t="s">
        <v>206</v>
      </c>
      <c r="D8" s="107" t="s">
        <v>59</v>
      </c>
      <c r="E8" s="107" t="s">
        <v>187</v>
      </c>
      <c r="F8" s="106">
        <v>7</v>
      </c>
      <c r="G8" s="108" t="s">
        <v>63</v>
      </c>
      <c r="H8" s="108" t="s">
        <v>60</v>
      </c>
      <c r="I8" s="108" t="s">
        <v>186</v>
      </c>
      <c r="J8" s="108" t="s">
        <v>243</v>
      </c>
      <c r="K8" s="108" t="s">
        <v>60</v>
      </c>
      <c r="L8" s="108" t="s">
        <v>60</v>
      </c>
      <c r="M8" s="119" t="s">
        <v>261</v>
      </c>
      <c r="N8" s="108" t="s">
        <v>60</v>
      </c>
      <c r="O8" s="108" t="s">
        <v>60</v>
      </c>
      <c r="P8" s="17"/>
      <c r="Q8" s="18"/>
      <c r="R8" s="17" t="s">
        <v>57</v>
      </c>
      <c r="S8" s="17" t="s">
        <v>58</v>
      </c>
      <c r="T8" s="17" t="s">
        <v>63</v>
      </c>
      <c r="U8" s="17"/>
      <c r="V8" s="18" t="s">
        <v>201</v>
      </c>
      <c r="W8" s="18"/>
      <c r="X8" s="107" t="s">
        <v>74</v>
      </c>
      <c r="Y8" s="115"/>
      <c r="Z8" s="115"/>
      <c r="AA8" s="115"/>
      <c r="AB8" s="115"/>
      <c r="AC8" s="115"/>
      <c r="AD8" s="115"/>
      <c r="AE8" s="115"/>
      <c r="AF8" s="115"/>
      <c r="AG8" s="115"/>
    </row>
    <row r="9" spans="1:33" x14ac:dyDescent="0.3">
      <c r="A9" s="14"/>
      <c r="B9" s="17"/>
      <c r="C9" s="106" t="s">
        <v>207</v>
      </c>
      <c r="D9" s="107" t="s">
        <v>59</v>
      </c>
      <c r="E9" s="107" t="s">
        <v>187</v>
      </c>
      <c r="F9" s="106">
        <v>7</v>
      </c>
      <c r="G9" s="108" t="s">
        <v>63</v>
      </c>
      <c r="H9" s="108" t="s">
        <v>60</v>
      </c>
      <c r="I9" s="108" t="s">
        <v>186</v>
      </c>
      <c r="J9" s="108" t="s">
        <v>243</v>
      </c>
      <c r="K9" s="108" t="s">
        <v>60</v>
      </c>
      <c r="L9" s="108" t="s">
        <v>60</v>
      </c>
      <c r="M9" s="119" t="s">
        <v>261</v>
      </c>
      <c r="N9" s="108" t="s">
        <v>60</v>
      </c>
      <c r="O9" s="108" t="s">
        <v>60</v>
      </c>
      <c r="P9" s="17"/>
      <c r="Q9" s="18"/>
      <c r="R9" s="17" t="s">
        <v>160</v>
      </c>
      <c r="S9" s="17" t="s">
        <v>161</v>
      </c>
      <c r="T9" s="17"/>
      <c r="V9" s="18" t="s">
        <v>202</v>
      </c>
      <c r="W9" s="18"/>
      <c r="X9" s="107" t="s">
        <v>82</v>
      </c>
      <c r="Y9" s="115"/>
      <c r="Z9" s="115"/>
      <c r="AA9" s="115"/>
      <c r="AB9" s="115"/>
      <c r="AC9" s="115"/>
      <c r="AD9" s="115"/>
      <c r="AE9" s="115"/>
      <c r="AF9" s="115"/>
      <c r="AG9" s="115"/>
    </row>
    <row r="10" spans="1:33" x14ac:dyDescent="0.3">
      <c r="A10" s="14"/>
      <c r="B10" s="17"/>
      <c r="C10" s="107" t="s">
        <v>52</v>
      </c>
      <c r="D10" s="107" t="s">
        <v>55</v>
      </c>
      <c r="E10" s="107" t="s">
        <v>187</v>
      </c>
      <c r="F10" s="106">
        <v>10</v>
      </c>
      <c r="G10" s="108" t="s">
        <v>60</v>
      </c>
      <c r="H10" s="108" t="s">
        <v>60</v>
      </c>
      <c r="I10" s="108" t="s">
        <v>242</v>
      </c>
      <c r="J10" s="108" t="s">
        <v>243</v>
      </c>
      <c r="K10" s="108" t="s">
        <v>256</v>
      </c>
      <c r="L10" s="108" t="s">
        <v>60</v>
      </c>
      <c r="M10" s="119" t="s">
        <v>261</v>
      </c>
      <c r="N10" s="108" t="s">
        <v>60</v>
      </c>
      <c r="O10" s="108" t="s">
        <v>60</v>
      </c>
      <c r="P10" s="17"/>
      <c r="Q10" s="18"/>
      <c r="R10" s="17" t="s">
        <v>61</v>
      </c>
      <c r="S10" s="17" t="s">
        <v>62</v>
      </c>
      <c r="T10" s="17" t="s">
        <v>56</v>
      </c>
      <c r="W10" s="18"/>
      <c r="X10" s="107" t="s">
        <v>98</v>
      </c>
      <c r="Y10" s="115"/>
      <c r="Z10" s="115"/>
      <c r="AA10" s="115"/>
      <c r="AB10" s="115"/>
      <c r="AC10" s="115"/>
      <c r="AD10" s="115"/>
      <c r="AE10" s="115"/>
      <c r="AF10" s="115"/>
      <c r="AG10" s="115"/>
    </row>
    <row r="11" spans="1:33" x14ac:dyDescent="0.3">
      <c r="A11" s="14"/>
      <c r="B11" s="17"/>
      <c r="C11" s="107" t="s">
        <v>188</v>
      </c>
      <c r="D11" s="107" t="s">
        <v>59</v>
      </c>
      <c r="E11" s="107" t="s">
        <v>187</v>
      </c>
      <c r="F11" s="106">
        <v>10</v>
      </c>
      <c r="G11" s="108" t="s">
        <v>60</v>
      </c>
      <c r="H11" s="108" t="s">
        <v>60</v>
      </c>
      <c r="I11" s="108" t="s">
        <v>242</v>
      </c>
      <c r="J11" s="108" t="s">
        <v>243</v>
      </c>
      <c r="K11" s="108" t="s">
        <v>256</v>
      </c>
      <c r="L11" s="108" t="s">
        <v>60</v>
      </c>
      <c r="M11" s="119" t="s">
        <v>261</v>
      </c>
      <c r="N11" s="108" t="s">
        <v>60</v>
      </c>
      <c r="O11" s="108" t="s">
        <v>60</v>
      </c>
      <c r="P11" s="17"/>
      <c r="Q11" s="18"/>
      <c r="R11" s="17" t="s">
        <v>64</v>
      </c>
      <c r="S11" s="17" t="s">
        <v>65</v>
      </c>
      <c r="T11" s="17"/>
      <c r="W11" s="18"/>
      <c r="X11" s="107" t="s">
        <v>116</v>
      </c>
      <c r="Y11" s="115"/>
      <c r="Z11" s="115"/>
      <c r="AA11" s="115"/>
      <c r="AB11" s="115"/>
      <c r="AC11" s="115"/>
      <c r="AD11" s="115"/>
      <c r="AE11" s="115"/>
      <c r="AF11" s="115"/>
      <c r="AG11" s="115"/>
    </row>
    <row r="12" spans="1:33" ht="15.75" customHeight="1" x14ac:dyDescent="0.3">
      <c r="B12" s="17"/>
      <c r="C12" s="107" t="s">
        <v>189</v>
      </c>
      <c r="D12" s="107" t="s">
        <v>59</v>
      </c>
      <c r="E12" s="107" t="s">
        <v>187</v>
      </c>
      <c r="F12" s="106">
        <v>10</v>
      </c>
      <c r="G12" s="108" t="s">
        <v>60</v>
      </c>
      <c r="H12" s="108" t="s">
        <v>60</v>
      </c>
      <c r="I12" s="108" t="s">
        <v>242</v>
      </c>
      <c r="J12" s="108" t="s">
        <v>243</v>
      </c>
      <c r="K12" s="108" t="s">
        <v>256</v>
      </c>
      <c r="L12" s="108" t="s">
        <v>60</v>
      </c>
      <c r="M12" s="119" t="s">
        <v>261</v>
      </c>
      <c r="N12" s="108" t="s">
        <v>60</v>
      </c>
      <c r="O12" s="108" t="s">
        <v>60</v>
      </c>
      <c r="P12" s="17"/>
      <c r="Q12" s="18"/>
      <c r="R12" s="17" t="s">
        <v>66</v>
      </c>
      <c r="S12" s="17" t="s">
        <v>67</v>
      </c>
      <c r="T12" s="17"/>
      <c r="W12" s="18"/>
      <c r="X12" s="107" t="s">
        <v>132</v>
      </c>
      <c r="Y12" s="115"/>
      <c r="Z12" s="115"/>
      <c r="AA12" s="115"/>
      <c r="AB12" s="115"/>
      <c r="AC12" s="115"/>
      <c r="AD12" s="115"/>
      <c r="AE12" s="115"/>
      <c r="AF12" s="115"/>
      <c r="AG12" s="115"/>
    </row>
    <row r="13" spans="1:33" x14ac:dyDescent="0.3">
      <c r="B13" s="17"/>
      <c r="C13" s="107" t="s">
        <v>197</v>
      </c>
      <c r="D13" s="107" t="s">
        <v>55</v>
      </c>
      <c r="E13" s="107" t="s">
        <v>187</v>
      </c>
      <c r="F13" s="106">
        <v>20</v>
      </c>
      <c r="G13" s="108" t="s">
        <v>63</v>
      </c>
      <c r="H13" s="108" t="s">
        <v>60</v>
      </c>
      <c r="I13" s="108" t="s">
        <v>186</v>
      </c>
      <c r="J13" s="108" t="s">
        <v>243</v>
      </c>
      <c r="K13" s="108" t="s">
        <v>60</v>
      </c>
      <c r="L13" s="108" t="s">
        <v>60</v>
      </c>
      <c r="M13" s="119" t="s">
        <v>261</v>
      </c>
      <c r="N13" s="108" t="s">
        <v>60</v>
      </c>
      <c r="O13" s="108" t="s">
        <v>60</v>
      </c>
      <c r="P13" s="17"/>
      <c r="Q13" s="18"/>
      <c r="R13" s="17" t="s">
        <v>68</v>
      </c>
      <c r="S13" s="17" t="s">
        <v>69</v>
      </c>
      <c r="T13" s="17"/>
      <c r="W13" s="91"/>
      <c r="X13" s="107" t="s">
        <v>142</v>
      </c>
      <c r="Y13" s="115"/>
      <c r="Z13" s="115"/>
      <c r="AA13" s="115"/>
      <c r="AB13" s="115"/>
      <c r="AC13" s="115"/>
      <c r="AD13" s="115"/>
      <c r="AE13" s="115"/>
      <c r="AF13" s="115"/>
      <c r="AG13" s="115"/>
    </row>
    <row r="14" spans="1:33" x14ac:dyDescent="0.3">
      <c r="B14" s="17"/>
      <c r="C14" s="107" t="s">
        <v>198</v>
      </c>
      <c r="D14" s="107" t="s">
        <v>59</v>
      </c>
      <c r="E14" s="107" t="s">
        <v>187</v>
      </c>
      <c r="F14" s="106">
        <v>20</v>
      </c>
      <c r="G14" s="108" t="s">
        <v>63</v>
      </c>
      <c r="H14" s="108" t="s">
        <v>60</v>
      </c>
      <c r="I14" s="108" t="s">
        <v>186</v>
      </c>
      <c r="J14" s="108" t="s">
        <v>243</v>
      </c>
      <c r="K14" s="108" t="s">
        <v>60</v>
      </c>
      <c r="L14" s="108" t="s">
        <v>60</v>
      </c>
      <c r="M14" s="119" t="s">
        <v>261</v>
      </c>
      <c r="N14" s="108" t="s">
        <v>60</v>
      </c>
      <c r="O14" s="108" t="s">
        <v>60</v>
      </c>
      <c r="P14" s="17"/>
      <c r="Q14" s="18"/>
      <c r="R14" s="17" t="s">
        <v>70</v>
      </c>
      <c r="S14" s="17" t="s">
        <v>71</v>
      </c>
      <c r="T14" s="17"/>
      <c r="X14" s="107" t="s">
        <v>150</v>
      </c>
      <c r="Y14" s="115"/>
      <c r="Z14" s="115"/>
      <c r="AA14" s="115"/>
      <c r="AB14" s="115"/>
      <c r="AC14" s="115"/>
      <c r="AD14" s="115"/>
      <c r="AE14" s="115"/>
      <c r="AF14" s="115"/>
      <c r="AG14" s="115"/>
    </row>
    <row r="15" spans="1:33" x14ac:dyDescent="0.3">
      <c r="B15" s="17"/>
      <c r="C15" s="107" t="s">
        <v>204</v>
      </c>
      <c r="D15" s="107" t="s">
        <v>59</v>
      </c>
      <c r="E15" s="107" t="s">
        <v>187</v>
      </c>
      <c r="F15" s="106">
        <v>20</v>
      </c>
      <c r="G15" s="108" t="s">
        <v>63</v>
      </c>
      <c r="H15" s="108" t="s">
        <v>60</v>
      </c>
      <c r="I15" s="108" t="s">
        <v>186</v>
      </c>
      <c r="J15" s="108" t="s">
        <v>243</v>
      </c>
      <c r="K15" s="108" t="s">
        <v>60</v>
      </c>
      <c r="L15" s="108" t="s">
        <v>60</v>
      </c>
      <c r="M15" s="119" t="s">
        <v>261</v>
      </c>
      <c r="N15" s="108" t="s">
        <v>60</v>
      </c>
      <c r="O15" s="108" t="s">
        <v>60</v>
      </c>
      <c r="P15" s="17"/>
      <c r="Q15" s="18"/>
      <c r="R15" s="17" t="s">
        <v>72</v>
      </c>
      <c r="S15" s="17" t="s">
        <v>73</v>
      </c>
      <c r="T15" s="17"/>
      <c r="X15" s="107" t="s">
        <v>186</v>
      </c>
      <c r="Y15" s="115"/>
      <c r="Z15" s="115"/>
      <c r="AA15" s="115"/>
      <c r="AB15" s="115"/>
      <c r="AC15" s="115"/>
      <c r="AD15" s="115"/>
      <c r="AE15" s="115"/>
      <c r="AF15" s="115"/>
      <c r="AG15" s="115"/>
    </row>
    <row r="16" spans="1:33" x14ac:dyDescent="0.3">
      <c r="B16" s="17"/>
      <c r="C16" s="107" t="s">
        <v>212</v>
      </c>
      <c r="D16" s="107" t="s">
        <v>186</v>
      </c>
      <c r="E16" s="107" t="s">
        <v>210</v>
      </c>
      <c r="F16" s="106">
        <v>5</v>
      </c>
      <c r="G16" s="108" t="s">
        <v>63</v>
      </c>
      <c r="H16" s="108" t="s">
        <v>60</v>
      </c>
      <c r="I16" s="108" t="s">
        <v>63</v>
      </c>
      <c r="J16" s="108" t="s">
        <v>243</v>
      </c>
      <c r="K16" s="108" t="s">
        <v>60</v>
      </c>
      <c r="L16" s="108" t="s">
        <v>60</v>
      </c>
      <c r="M16" s="108" t="s">
        <v>60</v>
      </c>
      <c r="N16" s="108" t="s">
        <v>186</v>
      </c>
      <c r="O16" s="108" t="s">
        <v>60</v>
      </c>
      <c r="P16" s="17"/>
      <c r="Q16" s="18"/>
      <c r="R16" s="17" t="s">
        <v>158</v>
      </c>
      <c r="S16" s="17" t="s">
        <v>159</v>
      </c>
      <c r="T16" s="17"/>
      <c r="X16" s="17"/>
    </row>
    <row r="17" spans="2:24" x14ac:dyDescent="0.3">
      <c r="B17" s="17"/>
      <c r="C17" s="107" t="s">
        <v>213</v>
      </c>
      <c r="D17" s="107" t="s">
        <v>186</v>
      </c>
      <c r="E17" s="107" t="s">
        <v>210</v>
      </c>
      <c r="F17" s="106">
        <v>10</v>
      </c>
      <c r="G17" s="108" t="s">
        <v>63</v>
      </c>
      <c r="H17" s="108" t="s">
        <v>60</v>
      </c>
      <c r="I17" s="108" t="s">
        <v>63</v>
      </c>
      <c r="J17" s="108" t="s">
        <v>243</v>
      </c>
      <c r="K17" s="108" t="s">
        <v>60</v>
      </c>
      <c r="L17" s="108" t="s">
        <v>60</v>
      </c>
      <c r="M17" s="108" t="s">
        <v>60</v>
      </c>
      <c r="N17" s="108" t="s">
        <v>186</v>
      </c>
      <c r="O17" s="108" t="s">
        <v>60</v>
      </c>
      <c r="P17" s="17"/>
      <c r="Q17" s="18"/>
      <c r="R17" s="17" t="s">
        <v>74</v>
      </c>
      <c r="S17" s="17" t="s">
        <v>75</v>
      </c>
      <c r="T17" s="17"/>
      <c r="X17" s="17"/>
    </row>
    <row r="18" spans="2:24" x14ac:dyDescent="0.3">
      <c r="B18" s="17"/>
      <c r="C18" s="107"/>
      <c r="D18" s="107"/>
      <c r="E18" s="107"/>
      <c r="F18" s="106"/>
      <c r="G18" s="108"/>
      <c r="H18" s="108"/>
      <c r="I18" s="108"/>
      <c r="J18" s="108"/>
      <c r="K18" s="108"/>
      <c r="L18" s="108"/>
      <c r="M18" s="108"/>
      <c r="N18" s="108"/>
      <c r="O18" s="108"/>
      <c r="P18" s="17"/>
      <c r="Q18" s="18"/>
      <c r="R18" s="17" t="s">
        <v>76</v>
      </c>
      <c r="S18" s="17" t="s">
        <v>77</v>
      </c>
      <c r="T18" s="17"/>
      <c r="X18" s="17"/>
    </row>
    <row r="19" spans="2:24" x14ac:dyDescent="0.3">
      <c r="B19" s="17"/>
      <c r="C19" s="17"/>
      <c r="D19" s="17"/>
      <c r="E19" s="17"/>
      <c r="F19" s="18"/>
      <c r="G19" s="18"/>
      <c r="H19" s="18"/>
      <c r="I19" s="18"/>
      <c r="J19" s="18"/>
      <c r="K19" s="18"/>
      <c r="L19" s="18"/>
      <c r="M19" s="18"/>
      <c r="N19" s="18"/>
      <c r="O19" s="18"/>
      <c r="P19" s="17"/>
      <c r="Q19" s="18"/>
      <c r="R19" s="17" t="s">
        <v>162</v>
      </c>
      <c r="S19" s="17" t="s">
        <v>163</v>
      </c>
      <c r="T19" s="17"/>
      <c r="X19" s="17"/>
    </row>
    <row r="20" spans="2:24" x14ac:dyDescent="0.3">
      <c r="B20" s="17"/>
      <c r="C20" s="17"/>
      <c r="D20" s="17"/>
      <c r="E20" s="17"/>
      <c r="F20" s="18"/>
      <c r="G20" s="18"/>
      <c r="H20" s="18"/>
      <c r="I20" s="18"/>
      <c r="J20" s="18"/>
      <c r="K20" s="18"/>
      <c r="L20" s="18"/>
      <c r="M20" s="18"/>
      <c r="N20" s="18"/>
      <c r="O20" s="18"/>
      <c r="P20" s="17"/>
      <c r="Q20" s="18"/>
      <c r="R20" s="17" t="s">
        <v>78</v>
      </c>
      <c r="S20" s="17" t="s">
        <v>79</v>
      </c>
      <c r="T20" s="17"/>
      <c r="X20" s="17"/>
    </row>
    <row r="21" spans="2:24" x14ac:dyDescent="0.3">
      <c r="B21" s="17"/>
      <c r="C21" s="17"/>
      <c r="D21" s="17"/>
      <c r="E21" s="17"/>
      <c r="F21" s="18"/>
      <c r="G21" s="18"/>
      <c r="H21" s="18"/>
      <c r="I21" s="18"/>
      <c r="J21" s="18"/>
      <c r="K21" s="18"/>
      <c r="L21" s="18"/>
      <c r="M21" s="18"/>
      <c r="N21" s="18"/>
      <c r="O21" s="18"/>
      <c r="P21" s="17"/>
      <c r="Q21" s="18"/>
      <c r="R21" s="17" t="s">
        <v>80</v>
      </c>
      <c r="S21" s="17" t="s">
        <v>81</v>
      </c>
      <c r="T21" s="17"/>
      <c r="X21" s="17"/>
    </row>
    <row r="22" spans="2:24" x14ac:dyDescent="0.3">
      <c r="B22" s="17"/>
      <c r="C22" s="17"/>
      <c r="D22" s="17"/>
      <c r="E22" s="17"/>
      <c r="F22" s="18"/>
      <c r="G22" s="18"/>
      <c r="H22" s="18"/>
      <c r="I22" s="18"/>
      <c r="J22" s="18"/>
      <c r="K22" s="18"/>
      <c r="L22" s="18"/>
      <c r="M22" s="18"/>
      <c r="N22" s="18"/>
      <c r="O22" s="18"/>
      <c r="P22" s="17"/>
      <c r="Q22" s="18"/>
      <c r="R22" s="17" t="s">
        <v>82</v>
      </c>
      <c r="S22" s="17" t="s">
        <v>83</v>
      </c>
      <c r="T22" s="17"/>
      <c r="X22" s="17"/>
    </row>
    <row r="23" spans="2:24" x14ac:dyDescent="0.3">
      <c r="B23" s="17"/>
      <c r="C23" s="17"/>
      <c r="D23" s="17"/>
      <c r="E23" s="17"/>
      <c r="F23" s="18"/>
      <c r="G23" s="18"/>
      <c r="H23" s="18"/>
      <c r="I23" s="18"/>
      <c r="J23" s="18"/>
      <c r="K23" s="18"/>
      <c r="L23" s="18"/>
      <c r="M23" s="18"/>
      <c r="N23" s="18"/>
      <c r="O23" s="18"/>
      <c r="P23" s="17"/>
      <c r="Q23" s="18"/>
      <c r="R23" s="17" t="s">
        <v>84</v>
      </c>
      <c r="S23" s="17" t="s">
        <v>85</v>
      </c>
      <c r="T23" s="17"/>
      <c r="X23" s="91"/>
    </row>
    <row r="24" spans="2:24" x14ac:dyDescent="0.3">
      <c r="B24" s="17"/>
      <c r="C24" s="17"/>
      <c r="D24" s="17"/>
      <c r="E24" s="17"/>
      <c r="F24" s="18"/>
      <c r="G24" s="18"/>
      <c r="H24" s="18"/>
      <c r="I24" s="18"/>
      <c r="J24" s="18"/>
      <c r="K24" s="18"/>
      <c r="L24" s="18"/>
      <c r="M24" s="18"/>
      <c r="N24" s="18"/>
      <c r="O24" s="18"/>
      <c r="P24" s="17"/>
      <c r="Q24" s="18"/>
      <c r="R24" s="17" t="s">
        <v>86</v>
      </c>
      <c r="S24" s="17" t="s">
        <v>87</v>
      </c>
      <c r="T24" s="17"/>
      <c r="X24" s="91"/>
    </row>
    <row r="25" spans="2:24" x14ac:dyDescent="0.3">
      <c r="B25" s="17"/>
      <c r="C25" s="17"/>
      <c r="D25" s="17"/>
      <c r="E25" s="17"/>
      <c r="F25" s="18"/>
      <c r="G25" s="18"/>
      <c r="H25" s="18"/>
      <c r="I25" s="18"/>
      <c r="J25" s="18"/>
      <c r="K25" s="18"/>
      <c r="L25" s="18"/>
      <c r="M25" s="18"/>
      <c r="N25" s="18"/>
      <c r="O25" s="18"/>
      <c r="P25" s="17"/>
      <c r="Q25" s="18"/>
      <c r="R25" s="17" t="s">
        <v>88</v>
      </c>
      <c r="S25" s="17" t="s">
        <v>89</v>
      </c>
      <c r="T25" s="17"/>
      <c r="X25" s="91"/>
    </row>
    <row r="26" spans="2:24" x14ac:dyDescent="0.3">
      <c r="B26" s="17"/>
      <c r="C26" s="17"/>
      <c r="D26" s="17"/>
      <c r="E26" s="17"/>
      <c r="F26" s="18"/>
      <c r="G26" s="18"/>
      <c r="H26" s="18"/>
      <c r="I26" s="18"/>
      <c r="J26" s="18"/>
      <c r="K26" s="18"/>
      <c r="L26" s="18"/>
      <c r="M26" s="18"/>
      <c r="N26" s="18"/>
      <c r="O26" s="18"/>
      <c r="P26" s="17"/>
      <c r="Q26" s="18"/>
      <c r="R26" s="17" t="s">
        <v>90</v>
      </c>
      <c r="S26" s="17" t="s">
        <v>91</v>
      </c>
      <c r="T26" s="17"/>
      <c r="X26" s="90"/>
    </row>
    <row r="27" spans="2:24" x14ac:dyDescent="0.3">
      <c r="B27" s="17"/>
      <c r="C27" s="17"/>
      <c r="D27" s="17"/>
      <c r="E27" s="17"/>
      <c r="F27" s="18"/>
      <c r="G27" s="18"/>
      <c r="H27" s="18"/>
      <c r="I27" s="18"/>
      <c r="J27" s="18"/>
      <c r="K27" s="18"/>
      <c r="L27" s="18"/>
      <c r="M27" s="18"/>
      <c r="N27" s="18"/>
      <c r="O27" s="18"/>
      <c r="P27" s="17"/>
      <c r="Q27" s="18"/>
      <c r="R27" s="17" t="s">
        <v>92</v>
      </c>
      <c r="S27" s="17" t="s">
        <v>93</v>
      </c>
      <c r="T27" s="17"/>
      <c r="X27" s="91"/>
    </row>
    <row r="28" spans="2:24" x14ac:dyDescent="0.3">
      <c r="B28" s="17"/>
      <c r="C28" s="17"/>
      <c r="D28" s="17"/>
      <c r="E28" s="17"/>
      <c r="F28" s="18"/>
      <c r="G28" s="18"/>
      <c r="H28" s="18"/>
      <c r="I28" s="18"/>
      <c r="J28" s="18"/>
      <c r="K28" s="18"/>
      <c r="L28" s="18"/>
      <c r="M28" s="18"/>
      <c r="N28" s="18"/>
      <c r="O28" s="18"/>
      <c r="P28" s="17"/>
      <c r="Q28" s="18"/>
      <c r="R28" s="17" t="s">
        <v>94</v>
      </c>
      <c r="S28" s="17" t="s">
        <v>95</v>
      </c>
      <c r="T28" s="17"/>
      <c r="X28" s="91"/>
    </row>
    <row r="29" spans="2:24" x14ac:dyDescent="0.3">
      <c r="B29" s="17"/>
      <c r="C29" s="17"/>
      <c r="D29" s="17"/>
      <c r="E29" s="17"/>
      <c r="F29" s="18"/>
      <c r="G29" s="18"/>
      <c r="H29" s="18"/>
      <c r="I29" s="18"/>
      <c r="J29" s="18"/>
      <c r="K29" s="18"/>
      <c r="L29" s="18"/>
      <c r="M29" s="18"/>
      <c r="N29" s="18"/>
      <c r="O29" s="18"/>
      <c r="P29" s="17"/>
      <c r="Q29" s="18"/>
      <c r="R29" s="17" t="s">
        <v>96</v>
      </c>
      <c r="S29" s="17" t="s">
        <v>97</v>
      </c>
      <c r="T29" s="17"/>
    </row>
    <row r="30" spans="2:24" x14ac:dyDescent="0.3">
      <c r="B30" s="17"/>
      <c r="C30" s="17"/>
      <c r="D30" s="17"/>
      <c r="E30" s="17"/>
      <c r="F30" s="18"/>
      <c r="G30" s="18"/>
      <c r="H30" s="18"/>
      <c r="I30" s="18"/>
      <c r="J30" s="18"/>
      <c r="K30" s="18"/>
      <c r="L30" s="18"/>
      <c r="M30" s="18"/>
      <c r="N30" s="18"/>
      <c r="O30" s="18"/>
      <c r="P30" s="17"/>
      <c r="Q30" s="18"/>
      <c r="R30" s="17" t="s">
        <v>98</v>
      </c>
      <c r="S30" s="17" t="s">
        <v>99</v>
      </c>
      <c r="T30" s="17"/>
    </row>
    <row r="31" spans="2:24" x14ac:dyDescent="0.3">
      <c r="B31" s="17"/>
      <c r="C31" s="17"/>
      <c r="D31" s="17"/>
      <c r="E31" s="17"/>
      <c r="F31" s="18"/>
      <c r="G31" s="18"/>
      <c r="H31" s="18"/>
      <c r="I31" s="18"/>
      <c r="J31" s="18"/>
      <c r="K31" s="18"/>
      <c r="L31" s="18"/>
      <c r="M31" s="18"/>
      <c r="N31" s="18"/>
      <c r="O31" s="18"/>
      <c r="P31" s="17"/>
      <c r="Q31" s="18"/>
      <c r="R31" s="17" t="s">
        <v>100</v>
      </c>
      <c r="S31" s="17" t="s">
        <v>101</v>
      </c>
      <c r="T31" s="17"/>
    </row>
    <row r="32" spans="2:24" x14ac:dyDescent="0.3">
      <c r="B32" s="17"/>
      <c r="C32" s="17"/>
      <c r="D32" s="17"/>
      <c r="E32" s="17"/>
      <c r="F32" s="18"/>
      <c r="G32" s="18"/>
      <c r="H32" s="18"/>
      <c r="I32" s="18"/>
      <c r="J32" s="18"/>
      <c r="K32" s="18"/>
      <c r="L32" s="18"/>
      <c r="M32" s="18"/>
      <c r="N32" s="18"/>
      <c r="O32" s="18"/>
      <c r="P32" s="17"/>
      <c r="Q32" s="18"/>
      <c r="R32" s="17" t="s">
        <v>102</v>
      </c>
      <c r="S32" s="17" t="s">
        <v>103</v>
      </c>
      <c r="T32" s="17"/>
    </row>
    <row r="33" spans="2:20" x14ac:dyDescent="0.3">
      <c r="B33" s="17"/>
      <c r="C33" s="17"/>
      <c r="D33" s="17"/>
      <c r="E33" s="17"/>
      <c r="F33" s="18"/>
      <c r="G33" s="18"/>
      <c r="H33" s="18"/>
      <c r="I33" s="18"/>
      <c r="J33" s="18"/>
      <c r="K33" s="18"/>
      <c r="L33" s="18"/>
      <c r="M33" s="18"/>
      <c r="N33" s="18"/>
      <c r="O33" s="18"/>
      <c r="P33" s="17"/>
      <c r="Q33" s="18"/>
      <c r="R33" s="17" t="s">
        <v>104</v>
      </c>
      <c r="S33" s="17" t="s">
        <v>105</v>
      </c>
      <c r="T33" s="17"/>
    </row>
    <row r="34" spans="2:20" x14ac:dyDescent="0.3">
      <c r="B34" s="17"/>
      <c r="C34" s="17"/>
      <c r="D34" s="17"/>
      <c r="E34" s="17"/>
      <c r="F34" s="18"/>
      <c r="G34" s="18"/>
      <c r="H34" s="18"/>
      <c r="I34" s="18"/>
      <c r="J34" s="18"/>
      <c r="K34" s="18"/>
      <c r="L34" s="18"/>
      <c r="M34" s="18"/>
      <c r="N34" s="18"/>
      <c r="O34" s="18"/>
      <c r="P34" s="17"/>
      <c r="Q34" s="18"/>
      <c r="R34" s="17" t="s">
        <v>106</v>
      </c>
      <c r="S34" s="17" t="s">
        <v>107</v>
      </c>
      <c r="T34" s="17"/>
    </row>
    <row r="35" spans="2:20" x14ac:dyDescent="0.3">
      <c r="B35" s="17"/>
      <c r="C35" s="17"/>
      <c r="D35" s="17"/>
      <c r="E35" s="17"/>
      <c r="F35" s="18"/>
      <c r="G35" s="18"/>
      <c r="H35" s="18"/>
      <c r="I35" s="18"/>
      <c r="J35" s="18"/>
      <c r="K35" s="18"/>
      <c r="L35" s="18"/>
      <c r="M35" s="18"/>
      <c r="N35" s="18"/>
      <c r="O35" s="18"/>
      <c r="P35" s="17"/>
      <c r="Q35" s="18"/>
      <c r="R35" s="17" t="s">
        <v>108</v>
      </c>
      <c r="S35" s="17" t="s">
        <v>109</v>
      </c>
      <c r="T35" s="17"/>
    </row>
    <row r="36" spans="2:20" x14ac:dyDescent="0.3">
      <c r="B36" s="17"/>
      <c r="C36" s="17"/>
      <c r="D36" s="17"/>
      <c r="E36" s="17"/>
      <c r="F36" s="18"/>
      <c r="G36" s="18"/>
      <c r="H36" s="18"/>
      <c r="I36" s="18"/>
      <c r="J36" s="18"/>
      <c r="K36" s="18"/>
      <c r="L36" s="18"/>
      <c r="M36" s="18"/>
      <c r="N36" s="18"/>
      <c r="O36" s="18"/>
      <c r="P36" s="17"/>
      <c r="Q36" s="18"/>
      <c r="R36" s="17" t="s">
        <v>110</v>
      </c>
      <c r="S36" s="17" t="s">
        <v>111</v>
      </c>
      <c r="T36" s="17"/>
    </row>
    <row r="37" spans="2:20" x14ac:dyDescent="0.3">
      <c r="B37" s="17"/>
      <c r="C37" s="17"/>
      <c r="D37" s="17"/>
      <c r="E37" s="17"/>
      <c r="F37" s="18"/>
      <c r="G37" s="18"/>
      <c r="H37" s="18"/>
      <c r="I37" s="18"/>
      <c r="J37" s="18"/>
      <c r="K37" s="18"/>
      <c r="L37" s="18"/>
      <c r="M37" s="18"/>
      <c r="N37" s="18"/>
      <c r="O37" s="18"/>
      <c r="P37" s="17"/>
      <c r="Q37" s="18"/>
      <c r="R37" s="17" t="s">
        <v>112</v>
      </c>
      <c r="S37" s="17" t="s">
        <v>113</v>
      </c>
      <c r="T37" s="17"/>
    </row>
    <row r="38" spans="2:20" x14ac:dyDescent="0.3">
      <c r="B38" s="17"/>
      <c r="C38" s="17"/>
      <c r="D38" s="17"/>
      <c r="E38" s="17"/>
      <c r="F38" s="18"/>
      <c r="G38" s="18"/>
      <c r="H38" s="18"/>
      <c r="I38" s="18"/>
      <c r="J38" s="18"/>
      <c r="K38" s="18"/>
      <c r="L38" s="18"/>
      <c r="M38" s="18"/>
      <c r="N38" s="18"/>
      <c r="O38" s="18"/>
      <c r="P38" s="17"/>
      <c r="Q38" s="18"/>
      <c r="R38" s="17" t="s">
        <v>114</v>
      </c>
      <c r="S38" s="17" t="s">
        <v>115</v>
      </c>
      <c r="T38" s="17"/>
    </row>
    <row r="39" spans="2:20" x14ac:dyDescent="0.3">
      <c r="B39" s="17"/>
      <c r="C39" s="17"/>
      <c r="D39" s="17"/>
      <c r="E39" s="17"/>
      <c r="F39" s="18"/>
      <c r="G39" s="18"/>
      <c r="H39" s="18"/>
      <c r="I39" s="18"/>
      <c r="J39" s="18"/>
      <c r="K39" s="18"/>
      <c r="L39" s="18"/>
      <c r="M39" s="18"/>
      <c r="N39" s="18"/>
      <c r="O39" s="18"/>
      <c r="P39" s="17"/>
      <c r="Q39" s="18"/>
      <c r="R39" s="17" t="s">
        <v>116</v>
      </c>
      <c r="S39" s="17" t="s">
        <v>117</v>
      </c>
      <c r="T39" s="17"/>
    </row>
    <row r="40" spans="2:20" x14ac:dyDescent="0.3">
      <c r="B40" s="17"/>
      <c r="C40" s="17"/>
      <c r="D40" s="17"/>
      <c r="E40" s="17"/>
      <c r="F40" s="18"/>
      <c r="G40" s="18"/>
      <c r="H40" s="18"/>
      <c r="I40" s="18"/>
      <c r="J40" s="18"/>
      <c r="K40" s="18"/>
      <c r="L40" s="18"/>
      <c r="M40" s="18"/>
      <c r="N40" s="18"/>
      <c r="O40" s="18"/>
      <c r="P40" s="17"/>
      <c r="Q40" s="18"/>
      <c r="R40" s="17" t="s">
        <v>118</v>
      </c>
      <c r="S40" s="17" t="s">
        <v>119</v>
      </c>
      <c r="T40" s="17"/>
    </row>
    <row r="41" spans="2:20" x14ac:dyDescent="0.3">
      <c r="B41" s="17"/>
      <c r="C41" s="17"/>
      <c r="D41" s="17"/>
      <c r="E41" s="17"/>
      <c r="F41" s="18"/>
      <c r="G41" s="18"/>
      <c r="H41" s="18"/>
      <c r="I41" s="18"/>
      <c r="J41" s="18"/>
      <c r="K41" s="18"/>
      <c r="L41" s="18"/>
      <c r="M41" s="18"/>
      <c r="N41" s="18"/>
      <c r="O41" s="18"/>
      <c r="P41" s="17"/>
      <c r="Q41" s="18"/>
      <c r="R41" s="17" t="s">
        <v>120</v>
      </c>
      <c r="S41" s="17" t="s">
        <v>121</v>
      </c>
      <c r="T41" s="17"/>
    </row>
    <row r="42" spans="2:20" x14ac:dyDescent="0.3">
      <c r="B42" s="17"/>
      <c r="C42" s="17"/>
      <c r="D42" s="17"/>
      <c r="E42" s="17"/>
      <c r="F42" s="18"/>
      <c r="G42" s="18"/>
      <c r="H42" s="18"/>
      <c r="I42" s="18"/>
      <c r="J42" s="18"/>
      <c r="K42" s="18"/>
      <c r="L42" s="18"/>
      <c r="M42" s="18"/>
      <c r="N42" s="18"/>
      <c r="O42" s="18"/>
      <c r="P42" s="17"/>
      <c r="Q42" s="18"/>
      <c r="R42" s="17" t="s">
        <v>122</v>
      </c>
      <c r="S42" s="17" t="s">
        <v>123</v>
      </c>
      <c r="T42" s="17"/>
    </row>
    <row r="43" spans="2:20" x14ac:dyDescent="0.3">
      <c r="B43" s="17"/>
      <c r="C43" s="17"/>
      <c r="D43" s="17"/>
      <c r="E43" s="17"/>
      <c r="F43" s="18"/>
      <c r="G43" s="18"/>
      <c r="H43" s="18"/>
      <c r="I43" s="18"/>
      <c r="J43" s="18"/>
      <c r="K43" s="18"/>
      <c r="L43" s="18"/>
      <c r="M43" s="18"/>
      <c r="N43" s="18"/>
      <c r="O43" s="18"/>
      <c r="P43" s="17"/>
      <c r="Q43" s="18"/>
      <c r="R43" s="17" t="s">
        <v>124</v>
      </c>
      <c r="S43" s="17" t="s">
        <v>125</v>
      </c>
      <c r="T43" s="17"/>
    </row>
    <row r="44" spans="2:20" x14ac:dyDescent="0.3">
      <c r="B44" s="17"/>
      <c r="C44" s="17"/>
      <c r="D44" s="17"/>
      <c r="E44" s="17"/>
      <c r="F44" s="18"/>
      <c r="G44" s="18"/>
      <c r="H44" s="18"/>
      <c r="I44" s="18"/>
      <c r="J44" s="18"/>
      <c r="K44" s="18"/>
      <c r="L44" s="18"/>
      <c r="M44" s="18"/>
      <c r="N44" s="18"/>
      <c r="O44" s="18"/>
      <c r="P44" s="17"/>
      <c r="Q44" s="18"/>
      <c r="R44" s="17" t="s">
        <v>164</v>
      </c>
      <c r="S44" s="17" t="s">
        <v>165</v>
      </c>
      <c r="T44" s="17"/>
    </row>
    <row r="45" spans="2:20" x14ac:dyDescent="0.3">
      <c r="B45" s="17"/>
      <c r="C45" s="17"/>
      <c r="D45" s="17"/>
      <c r="E45" s="17"/>
      <c r="F45" s="18"/>
      <c r="G45" s="18"/>
      <c r="H45" s="18"/>
      <c r="I45" s="18"/>
      <c r="J45" s="18"/>
      <c r="K45" s="18"/>
      <c r="L45" s="18"/>
      <c r="M45" s="18"/>
      <c r="N45" s="18"/>
      <c r="O45" s="18"/>
      <c r="P45" s="17"/>
      <c r="Q45" s="18"/>
      <c r="R45" s="17" t="s">
        <v>126</v>
      </c>
      <c r="S45" s="17" t="s">
        <v>127</v>
      </c>
      <c r="T45" s="17"/>
    </row>
    <row r="46" spans="2:20" x14ac:dyDescent="0.3">
      <c r="B46" s="17"/>
      <c r="C46" s="17"/>
      <c r="D46" s="17"/>
      <c r="E46" s="17"/>
      <c r="F46" s="18"/>
      <c r="G46" s="18"/>
      <c r="H46" s="18"/>
      <c r="I46" s="18"/>
      <c r="J46" s="18"/>
      <c r="K46" s="18"/>
      <c r="L46" s="18"/>
      <c r="M46" s="18"/>
      <c r="N46" s="18"/>
      <c r="O46" s="18"/>
      <c r="P46" s="17"/>
      <c r="Q46" s="18"/>
      <c r="R46" s="17" t="s">
        <v>128</v>
      </c>
      <c r="S46" s="17" t="s">
        <v>129</v>
      </c>
      <c r="T46" s="17"/>
    </row>
    <row r="47" spans="2:20" x14ac:dyDescent="0.3">
      <c r="B47" s="17"/>
      <c r="C47" s="17"/>
      <c r="D47" s="17"/>
      <c r="E47" s="17"/>
      <c r="F47" s="18"/>
      <c r="G47" s="18"/>
      <c r="H47" s="18"/>
      <c r="I47" s="18"/>
      <c r="J47" s="18"/>
      <c r="K47" s="18"/>
      <c r="L47" s="18"/>
      <c r="M47" s="18"/>
      <c r="N47" s="18"/>
      <c r="O47" s="18"/>
      <c r="P47" s="17"/>
      <c r="Q47" s="18"/>
      <c r="R47" s="17" t="s">
        <v>130</v>
      </c>
      <c r="S47" s="17" t="s">
        <v>131</v>
      </c>
      <c r="T47" s="17"/>
    </row>
    <row r="48" spans="2:20" x14ac:dyDescent="0.3">
      <c r="B48" s="17"/>
      <c r="C48" s="17"/>
      <c r="D48" s="17"/>
      <c r="E48" s="17"/>
      <c r="F48" s="18"/>
      <c r="G48" s="18"/>
      <c r="H48" s="18"/>
      <c r="I48" s="18"/>
      <c r="J48" s="18"/>
      <c r="K48" s="18"/>
      <c r="L48" s="18"/>
      <c r="M48" s="18"/>
      <c r="N48" s="18"/>
      <c r="O48" s="18"/>
      <c r="P48" s="17"/>
      <c r="Q48" s="18"/>
      <c r="R48" s="17" t="s">
        <v>132</v>
      </c>
      <c r="S48" s="17" t="s">
        <v>133</v>
      </c>
      <c r="T48" s="17"/>
    </row>
    <row r="49" spans="2:20" x14ac:dyDescent="0.3">
      <c r="B49" s="17"/>
      <c r="C49" s="17"/>
      <c r="D49" s="17"/>
      <c r="E49" s="17"/>
      <c r="F49" s="18"/>
      <c r="G49" s="18"/>
      <c r="H49" s="18"/>
      <c r="I49" s="18"/>
      <c r="J49" s="18"/>
      <c r="K49" s="18"/>
      <c r="L49" s="18"/>
      <c r="M49" s="18"/>
      <c r="N49" s="18"/>
      <c r="O49" s="18"/>
      <c r="P49" s="17"/>
      <c r="Q49" s="18"/>
      <c r="R49" s="17" t="s">
        <v>166</v>
      </c>
      <c r="S49" s="17" t="s">
        <v>167</v>
      </c>
      <c r="T49" s="17"/>
    </row>
    <row r="50" spans="2:20" x14ac:dyDescent="0.3">
      <c r="B50" s="17"/>
      <c r="C50" s="17"/>
      <c r="D50" s="17"/>
      <c r="E50" s="17"/>
      <c r="F50" s="18"/>
      <c r="G50" s="18"/>
      <c r="H50" s="18"/>
      <c r="I50" s="18"/>
      <c r="J50" s="18"/>
      <c r="K50" s="18"/>
      <c r="L50" s="18"/>
      <c r="M50" s="18"/>
      <c r="N50" s="18"/>
      <c r="O50" s="18"/>
      <c r="P50" s="17"/>
      <c r="Q50" s="18"/>
      <c r="R50" s="17" t="s">
        <v>134</v>
      </c>
      <c r="S50" s="17" t="s">
        <v>135</v>
      </c>
      <c r="T50" s="17"/>
    </row>
    <row r="51" spans="2:20" x14ac:dyDescent="0.3">
      <c r="B51" s="17"/>
      <c r="C51" s="17"/>
      <c r="D51" s="17"/>
      <c r="E51" s="17"/>
      <c r="F51" s="18"/>
      <c r="G51" s="18"/>
      <c r="H51" s="18"/>
      <c r="I51" s="18"/>
      <c r="J51" s="18"/>
      <c r="K51" s="18"/>
      <c r="L51" s="18"/>
      <c r="M51" s="18"/>
      <c r="N51" s="18"/>
      <c r="O51" s="18"/>
      <c r="P51" s="17"/>
      <c r="Q51" s="18"/>
      <c r="R51" s="17" t="s">
        <v>136</v>
      </c>
      <c r="S51" s="17" t="s">
        <v>137</v>
      </c>
      <c r="T51" s="17"/>
    </row>
    <row r="52" spans="2:20" x14ac:dyDescent="0.3">
      <c r="B52" s="17"/>
      <c r="C52" s="17"/>
      <c r="D52" s="17"/>
      <c r="E52" s="17"/>
      <c r="F52" s="18"/>
      <c r="G52" s="18"/>
      <c r="H52" s="18"/>
      <c r="I52" s="18"/>
      <c r="J52" s="18"/>
      <c r="K52" s="18"/>
      <c r="L52" s="18"/>
      <c r="M52" s="18"/>
      <c r="N52" s="18"/>
      <c r="O52" s="18"/>
      <c r="P52" s="17"/>
      <c r="Q52" s="18"/>
      <c r="R52" s="17" t="s">
        <v>138</v>
      </c>
      <c r="S52" s="17" t="s">
        <v>139</v>
      </c>
      <c r="T52" s="17"/>
    </row>
    <row r="53" spans="2:20" x14ac:dyDescent="0.3">
      <c r="B53" s="17"/>
      <c r="C53" s="17"/>
      <c r="D53" s="17"/>
      <c r="E53" s="17"/>
      <c r="F53" s="18"/>
      <c r="G53" s="18"/>
      <c r="H53" s="18"/>
      <c r="I53" s="18"/>
      <c r="J53" s="18"/>
      <c r="K53" s="18"/>
      <c r="L53" s="18"/>
      <c r="M53" s="18"/>
      <c r="N53" s="18"/>
      <c r="O53" s="18"/>
      <c r="P53" s="17"/>
      <c r="Q53" s="18"/>
      <c r="R53" s="17" t="s">
        <v>140</v>
      </c>
      <c r="S53" s="17" t="s">
        <v>141</v>
      </c>
      <c r="T53" s="17"/>
    </row>
    <row r="54" spans="2:20" x14ac:dyDescent="0.3">
      <c r="B54" s="17"/>
      <c r="C54" s="17"/>
      <c r="D54" s="17"/>
      <c r="E54" s="17"/>
      <c r="F54" s="18"/>
      <c r="G54" s="18"/>
      <c r="H54" s="18"/>
      <c r="I54" s="18"/>
      <c r="J54" s="18"/>
      <c r="K54" s="18"/>
      <c r="L54" s="18"/>
      <c r="M54" s="18"/>
      <c r="N54" s="18"/>
      <c r="O54" s="18"/>
      <c r="P54" s="17"/>
      <c r="Q54" s="18"/>
      <c r="R54" s="17" t="s">
        <v>142</v>
      </c>
      <c r="S54" s="17" t="s">
        <v>143</v>
      </c>
      <c r="T54" s="17"/>
    </row>
    <row r="55" spans="2:20" x14ac:dyDescent="0.3">
      <c r="B55" s="17"/>
      <c r="C55" s="17"/>
      <c r="D55" s="17"/>
      <c r="E55" s="17"/>
      <c r="F55" s="18"/>
      <c r="G55" s="18"/>
      <c r="H55" s="18"/>
      <c r="I55" s="18"/>
      <c r="J55" s="18"/>
      <c r="K55" s="18"/>
      <c r="L55" s="18"/>
      <c r="M55" s="18"/>
      <c r="N55" s="18"/>
      <c r="O55" s="18"/>
      <c r="P55" s="17"/>
      <c r="Q55" s="18"/>
      <c r="R55" s="17" t="s">
        <v>170</v>
      </c>
      <c r="S55" s="17" t="s">
        <v>171</v>
      </c>
      <c r="T55" s="17"/>
    </row>
    <row r="56" spans="2:20" x14ac:dyDescent="0.3">
      <c r="B56" s="17"/>
      <c r="C56" s="17"/>
      <c r="D56" s="17"/>
      <c r="E56" s="17"/>
      <c r="F56" s="18"/>
      <c r="G56" s="18"/>
      <c r="H56" s="18"/>
      <c r="I56" s="18"/>
      <c r="J56" s="18"/>
      <c r="K56" s="18"/>
      <c r="L56" s="18"/>
      <c r="M56" s="18"/>
      <c r="N56" s="18"/>
      <c r="O56" s="18"/>
      <c r="P56" s="17"/>
      <c r="Q56" s="18"/>
      <c r="R56" s="17" t="s">
        <v>168</v>
      </c>
      <c r="S56" s="17" t="s">
        <v>169</v>
      </c>
      <c r="T56" s="17"/>
    </row>
    <row r="57" spans="2:20" x14ac:dyDescent="0.3">
      <c r="B57" s="17"/>
      <c r="C57" s="17"/>
      <c r="D57" s="17"/>
      <c r="E57" s="17"/>
      <c r="F57" s="18"/>
      <c r="G57" s="18"/>
      <c r="H57" s="18"/>
      <c r="I57" s="18"/>
      <c r="J57" s="18"/>
      <c r="K57" s="18"/>
      <c r="L57" s="18"/>
      <c r="M57" s="18"/>
      <c r="N57" s="18"/>
      <c r="O57" s="18"/>
      <c r="P57" s="17"/>
      <c r="Q57" s="18"/>
      <c r="R57" s="17" t="s">
        <v>144</v>
      </c>
      <c r="S57" s="17" t="s">
        <v>145</v>
      </c>
      <c r="T57" s="17"/>
    </row>
    <row r="58" spans="2:20" x14ac:dyDescent="0.3">
      <c r="B58" s="17"/>
      <c r="C58" s="17"/>
      <c r="D58" s="17"/>
      <c r="E58" s="17"/>
      <c r="F58" s="18"/>
      <c r="G58" s="18"/>
      <c r="H58" s="18"/>
      <c r="I58" s="18"/>
      <c r="J58" s="18"/>
      <c r="K58" s="18"/>
      <c r="L58" s="18"/>
      <c r="M58" s="18"/>
      <c r="N58" s="18"/>
      <c r="O58" s="18"/>
      <c r="P58" s="17"/>
      <c r="Q58" s="18"/>
      <c r="R58" s="17" t="s">
        <v>146</v>
      </c>
      <c r="S58" s="17" t="s">
        <v>147</v>
      </c>
      <c r="T58" s="17"/>
    </row>
    <row r="59" spans="2:20" x14ac:dyDescent="0.3">
      <c r="B59" s="17"/>
      <c r="C59" s="17"/>
      <c r="D59" s="17"/>
      <c r="E59" s="17"/>
      <c r="F59" s="18"/>
      <c r="G59" s="18"/>
      <c r="H59" s="18"/>
      <c r="I59" s="18"/>
      <c r="J59" s="18"/>
      <c r="K59" s="18"/>
      <c r="L59" s="18"/>
      <c r="M59" s="18"/>
      <c r="N59" s="18"/>
      <c r="O59" s="18"/>
      <c r="P59" s="17"/>
      <c r="Q59" s="18"/>
      <c r="R59" s="17" t="s">
        <v>148</v>
      </c>
      <c r="S59" s="17" t="s">
        <v>149</v>
      </c>
      <c r="T59" s="17"/>
    </row>
    <row r="60" spans="2:20" x14ac:dyDescent="0.3">
      <c r="B60" s="17"/>
      <c r="C60" s="17"/>
      <c r="D60" s="17"/>
      <c r="E60" s="17"/>
      <c r="F60" s="18"/>
      <c r="G60" s="18"/>
      <c r="H60" s="18"/>
      <c r="I60" s="18"/>
      <c r="J60" s="18"/>
      <c r="K60" s="18"/>
      <c r="L60" s="18"/>
      <c r="M60" s="18"/>
      <c r="N60" s="18"/>
      <c r="O60" s="18"/>
      <c r="P60" s="17"/>
      <c r="Q60" s="18"/>
      <c r="R60" s="17" t="s">
        <v>150</v>
      </c>
      <c r="S60" s="17" t="s">
        <v>151</v>
      </c>
      <c r="T60" s="17"/>
    </row>
    <row r="61" spans="2:20" x14ac:dyDescent="0.3">
      <c r="B61" s="17"/>
      <c r="C61" s="17"/>
      <c r="D61" s="17"/>
      <c r="E61" s="17"/>
      <c r="F61" s="18"/>
      <c r="G61" s="18"/>
      <c r="H61" s="18"/>
      <c r="I61" s="18"/>
      <c r="J61" s="18"/>
      <c r="K61" s="18"/>
      <c r="L61" s="18"/>
      <c r="M61" s="18"/>
      <c r="N61" s="18"/>
      <c r="O61" s="18"/>
      <c r="P61" s="17"/>
      <c r="Q61" s="18"/>
      <c r="R61" s="17" t="s">
        <v>152</v>
      </c>
      <c r="S61" s="17" t="s">
        <v>153</v>
      </c>
      <c r="T61" s="17"/>
    </row>
    <row r="62" spans="2:20" x14ac:dyDescent="0.3">
      <c r="B62" s="17"/>
      <c r="C62" s="17"/>
      <c r="D62" s="17"/>
      <c r="F62" s="18"/>
      <c r="G62" s="18"/>
      <c r="H62" s="18"/>
      <c r="I62" s="18"/>
      <c r="J62" s="18"/>
      <c r="K62" s="18"/>
      <c r="L62" s="18"/>
      <c r="M62" s="18"/>
      <c r="N62" s="18"/>
      <c r="O62" s="18"/>
      <c r="P62" s="17"/>
      <c r="Q62" s="18"/>
      <c r="R62" s="17" t="s">
        <v>154</v>
      </c>
      <c r="S62" s="17" t="s">
        <v>155</v>
      </c>
      <c r="T62" s="17"/>
    </row>
    <row r="63" spans="2:20" x14ac:dyDescent="0.3">
      <c r="B63" s="17"/>
      <c r="C63" s="17"/>
      <c r="D63" s="17"/>
      <c r="F63" s="18"/>
      <c r="G63" s="18"/>
      <c r="H63" s="18"/>
      <c r="I63" s="18"/>
      <c r="J63" s="18"/>
      <c r="K63" s="18"/>
      <c r="L63" s="18"/>
      <c r="M63" s="18"/>
      <c r="N63" s="18"/>
      <c r="O63" s="18"/>
      <c r="P63" s="17"/>
      <c r="Q63" s="18"/>
      <c r="R63" s="17" t="s">
        <v>156</v>
      </c>
      <c r="S63" s="17" t="s">
        <v>157</v>
      </c>
      <c r="T63" s="17"/>
    </row>
    <row r="64" spans="2:20" x14ac:dyDescent="0.3">
      <c r="B64" s="17"/>
      <c r="C64" s="17"/>
      <c r="D64" s="17"/>
      <c r="F64" s="18"/>
      <c r="G64" s="18"/>
      <c r="H64" s="18"/>
      <c r="I64" s="18"/>
      <c r="J64" s="18"/>
      <c r="K64" s="18"/>
      <c r="L64" s="18"/>
      <c r="M64" s="18"/>
      <c r="N64" s="18"/>
      <c r="O64" s="18"/>
      <c r="P64" s="17"/>
      <c r="Q64" s="18"/>
      <c r="R64" s="17"/>
      <c r="S64" s="17"/>
      <c r="T64" s="17"/>
    </row>
    <row r="65" spans="2:20" x14ac:dyDescent="0.3">
      <c r="B65" s="17"/>
      <c r="C65" s="17"/>
      <c r="D65" s="17"/>
      <c r="F65" s="18"/>
      <c r="G65" s="18"/>
      <c r="H65" s="18"/>
      <c r="I65" s="18"/>
      <c r="J65" s="18"/>
      <c r="K65" s="18"/>
      <c r="L65" s="18"/>
      <c r="M65" s="18"/>
      <c r="N65" s="18"/>
      <c r="O65" s="18"/>
      <c r="P65" s="17"/>
      <c r="Q65" s="18"/>
      <c r="R65" s="17"/>
      <c r="S65" s="17"/>
      <c r="T65" s="17"/>
    </row>
    <row r="66" spans="2:20" x14ac:dyDescent="0.3">
      <c r="C66" s="17"/>
      <c r="D66" s="17"/>
      <c r="F66" s="18"/>
      <c r="G66" s="18"/>
      <c r="H66" s="18"/>
      <c r="I66" s="18"/>
      <c r="J66" s="18"/>
      <c r="K66" s="18"/>
      <c r="L66" s="18"/>
      <c r="M66" s="18"/>
      <c r="N66" s="18"/>
      <c r="O66" s="18"/>
    </row>
    <row r="67" spans="2:20" x14ac:dyDescent="0.3">
      <c r="C67" s="17"/>
      <c r="D67" s="17"/>
    </row>
    <row r="68" spans="2:20" x14ac:dyDescent="0.3">
      <c r="C68" s="17"/>
      <c r="D68" s="17"/>
    </row>
  </sheetData>
  <sortState xmlns:xlrd2="http://schemas.microsoft.com/office/spreadsheetml/2017/richdata2" ref="X5:X13">
    <sortCondition ref="X5:X13"/>
  </sortState>
  <mergeCells count="6">
    <mergeCell ref="AC4:AG4"/>
    <mergeCell ref="G4:H4"/>
    <mergeCell ref="I4:J4"/>
    <mergeCell ref="K4:O4"/>
    <mergeCell ref="Y4:Z4"/>
    <mergeCell ref="AA4:AB4"/>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N17"/>
  <sheetViews>
    <sheetView showGridLines="0" showRowColHeaders="0" zoomScaleNormal="100" workbookViewId="0">
      <selection activeCell="C15" sqref="C15"/>
    </sheetView>
  </sheetViews>
  <sheetFormatPr defaultRowHeight="15.75" x14ac:dyDescent="0.3"/>
  <cols>
    <col min="1" max="1" width="1.6640625" customWidth="1"/>
    <col min="2" max="2" width="106.77734375" customWidth="1"/>
    <col min="3" max="5" width="28.21875" customWidth="1"/>
    <col min="6" max="6" width="6.44140625" customWidth="1"/>
  </cols>
  <sheetData>
    <row r="1" spans="1:14" s="3" customFormat="1" ht="57" customHeight="1" x14ac:dyDescent="0.25">
      <c r="A1" s="5"/>
      <c r="B1" s="5"/>
      <c r="C1" s="5"/>
      <c r="D1" s="5"/>
      <c r="E1" s="5"/>
      <c r="F1" s="5"/>
      <c r="G1" s="5"/>
      <c r="H1" s="5"/>
      <c r="I1" s="5"/>
      <c r="J1" s="5"/>
      <c r="K1" s="5"/>
      <c r="L1" s="5"/>
      <c r="M1" s="5"/>
      <c r="N1" s="5"/>
    </row>
    <row r="2" spans="1:14" s="27" customFormat="1" ht="15" customHeight="1" x14ac:dyDescent="0.25">
      <c r="A2" s="26"/>
      <c r="B2" s="26"/>
      <c r="C2" s="26"/>
      <c r="D2" s="26"/>
      <c r="E2" s="26"/>
      <c r="F2" s="26"/>
      <c r="G2" s="26"/>
      <c r="H2" s="26"/>
      <c r="I2" s="26"/>
      <c r="J2" s="26"/>
      <c r="K2" s="26"/>
      <c r="L2" s="26"/>
      <c r="M2" s="26"/>
      <c r="N2" s="26"/>
    </row>
    <row r="3" spans="1:14" s="9" customFormat="1" ht="21.75" x14ac:dyDescent="0.4">
      <c r="A3" s="11"/>
      <c r="B3" s="29" t="s">
        <v>196</v>
      </c>
      <c r="C3" s="11"/>
      <c r="D3" s="11"/>
      <c r="E3" s="11"/>
      <c r="F3" s="11"/>
    </row>
    <row r="4" spans="1:14" s="23" customFormat="1" ht="15.75" customHeight="1" x14ac:dyDescent="0.25"/>
    <row r="5" spans="1:14" s="23" customFormat="1" ht="15.75" customHeight="1" x14ac:dyDescent="0.3">
      <c r="B5" s="65" t="s">
        <v>172</v>
      </c>
    </row>
    <row r="6" spans="1:14" s="17" customFormat="1" ht="14.25" customHeight="1" x14ac:dyDescent="0.25">
      <c r="B6" s="17" t="s">
        <v>173</v>
      </c>
    </row>
    <row r="7" spans="1:14" s="17" customFormat="1" ht="14.25" customHeight="1" x14ac:dyDescent="0.25">
      <c r="B7" s="17" t="s">
        <v>174</v>
      </c>
    </row>
    <row r="8" spans="1:14" s="17" customFormat="1" ht="14.25" customHeight="1" x14ac:dyDescent="0.25">
      <c r="B8" s="17" t="s">
        <v>175</v>
      </c>
    </row>
    <row r="9" spans="1:14" s="17" customFormat="1" ht="21.75" customHeight="1" x14ac:dyDescent="0.25"/>
    <row r="10" spans="1:14" s="17" customFormat="1" ht="15.75" customHeight="1" x14ac:dyDescent="0.3">
      <c r="B10" s="65" t="s">
        <v>176</v>
      </c>
    </row>
    <row r="11" spans="1:14" s="17" customFormat="1" ht="15.75" customHeight="1" x14ac:dyDescent="0.25">
      <c r="B11" s="66" t="s">
        <v>177</v>
      </c>
    </row>
    <row r="12" spans="1:14" s="17" customFormat="1" ht="60.75" customHeight="1" x14ac:dyDescent="0.25">
      <c r="B12" s="67" t="s">
        <v>178</v>
      </c>
    </row>
    <row r="13" spans="1:14" s="17" customFormat="1" ht="50.25" customHeight="1" x14ac:dyDescent="0.25">
      <c r="B13" s="67" t="s">
        <v>179</v>
      </c>
    </row>
    <row r="14" spans="1:14" s="17" customFormat="1" ht="76.5" customHeight="1" x14ac:dyDescent="0.25">
      <c r="B14" s="67" t="s">
        <v>180</v>
      </c>
    </row>
    <row r="15" spans="1:14" s="17" customFormat="1" ht="30.75" customHeight="1" x14ac:dyDescent="0.25">
      <c r="B15" s="67" t="s">
        <v>181</v>
      </c>
    </row>
    <row r="16" spans="1:14" s="68" customFormat="1" ht="16.5" customHeight="1" x14ac:dyDescent="0.25">
      <c r="B16" s="69" t="s">
        <v>208</v>
      </c>
    </row>
    <row r="17" spans="2:2" s="17" customFormat="1" ht="13.5" x14ac:dyDescent="0.25">
      <c r="B17" s="66"/>
    </row>
  </sheetData>
  <sheetProtection password="CAC7" sheet="1" objects="1" scenarios="1"/>
  <pageMargins left="0.7" right="0.7" top="0.75" bottom="0.75" header="0.3" footer="0.3"/>
  <pageSetup scale="62"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2"/>
  <sheetViews>
    <sheetView workbookViewId="0"/>
  </sheetViews>
  <sheetFormatPr defaultRowHeight="15.75" x14ac:dyDescent="0.3"/>
  <sheetData>
    <row r="1" spans="1:1" x14ac:dyDescent="0.3">
      <c r="A1" t="s">
        <v>190</v>
      </c>
    </row>
    <row r="2" spans="1:1" x14ac:dyDescent="0.3">
      <c r="A2" t="s">
        <v>255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Input</vt:lpstr>
      <vt:lpstr>Cash &amp; Tax Lot Input</vt:lpstr>
      <vt:lpstr>Restrictions Input</vt:lpstr>
      <vt:lpstr>Glossary</vt:lpstr>
      <vt:lpstr>Reference Data (not seen by FA)</vt:lpstr>
      <vt:lpstr>Disclosures</vt:lpstr>
      <vt:lpstr>EUCT_Temp</vt:lpstr>
      <vt:lpstr>'Cash &amp; Tax Lot Input'!Print_Area</vt:lpstr>
      <vt:lpstr>Disclosures!Print_Area</vt:lpstr>
      <vt:lpstr>Glossary!Print_Area</vt:lpstr>
      <vt:lpstr>'Restrictions Input'!Print_Area</vt:lpstr>
    </vt:vector>
  </TitlesOfParts>
  <Company>Wells Fargo N.A.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Bartholf, Patty</dc:creator>
  <cp:lastModifiedBy>Drylewicz, Michael</cp:lastModifiedBy>
  <cp:lastPrinted>2021-02-24T23:37:25Z</cp:lastPrinted>
  <dcterms:created xsi:type="dcterms:W3CDTF">2019-05-03T15:45:57Z</dcterms:created>
  <dcterms:modified xsi:type="dcterms:W3CDTF">2021-11-11T22:10:22Z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